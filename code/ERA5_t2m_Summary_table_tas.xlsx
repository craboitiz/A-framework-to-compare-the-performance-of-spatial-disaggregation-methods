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6.xml" ContentType="application/vnd.openxmlformats-officedocument.themeOverrid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8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9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0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crabo\Desktop\Paper version final\"/>
    </mc:Choice>
  </mc:AlternateContent>
  <xr:revisionPtr revIDLastSave="0" documentId="13_ncr:1_{FB86CA49-124D-4D81-996B-F74F09F9FE72}" xr6:coauthVersionLast="47" xr6:coauthVersionMax="47" xr10:uidLastSave="{00000000-0000-0000-0000-000000000000}"/>
  <bookViews>
    <workbookView xWindow="11424" yWindow="0" windowWidth="11712" windowHeight="12336" activeTab="4" xr2:uid="{00000000-000D-0000-FFFF-FFFF00000000}"/>
  </bookViews>
  <sheets>
    <sheet name="MAE" sheetId="1" r:id="rId1"/>
    <sheet name="MSE" sheetId="2" r:id="rId2"/>
    <sheet name="KGE" sheetId="3" r:id="rId3"/>
    <sheet name="NSE" sheetId="4" r:id="rId4"/>
    <sheet name="Ponder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44" i="5" l="1"/>
  <c r="BT36" i="5"/>
  <c r="BT28" i="5"/>
  <c r="BT20" i="5"/>
  <c r="BT12" i="5"/>
  <c r="BG12" i="5"/>
  <c r="BG20" i="5"/>
  <c r="BG28" i="5"/>
  <c r="BG36" i="5"/>
  <c r="BG44" i="5"/>
  <c r="AW44" i="5"/>
  <c r="AW36" i="5"/>
  <c r="AW28" i="5"/>
  <c r="AW12" i="5"/>
  <c r="AW20" i="5"/>
  <c r="BT4" i="5" l="1"/>
  <c r="BG4" i="5"/>
  <c r="AW4" i="5"/>
  <c r="BT5" i="5"/>
  <c r="BS45" i="5"/>
  <c r="BT45" i="5"/>
  <c r="BS46" i="5"/>
  <c r="BT46" i="5"/>
  <c r="BS47" i="5"/>
  <c r="BT47" i="5"/>
  <c r="BS48" i="5"/>
  <c r="BT48" i="5"/>
  <c r="BS49" i="5"/>
  <c r="BT49" i="5"/>
  <c r="BS37" i="5"/>
  <c r="BT37" i="5"/>
  <c r="BS38" i="5"/>
  <c r="BT38" i="5"/>
  <c r="BS39" i="5"/>
  <c r="BT39" i="5"/>
  <c r="BS40" i="5"/>
  <c r="BT40" i="5"/>
  <c r="BS41" i="5"/>
  <c r="BT41" i="5"/>
  <c r="BS29" i="5"/>
  <c r="BT29" i="5"/>
  <c r="BS30" i="5"/>
  <c r="BT30" i="5"/>
  <c r="BS31" i="5"/>
  <c r="BT31" i="5"/>
  <c r="BS32" i="5"/>
  <c r="BT32" i="5"/>
  <c r="BS33" i="5"/>
  <c r="BT33" i="5"/>
  <c r="BS21" i="5"/>
  <c r="BT21" i="5"/>
  <c r="BS22" i="5"/>
  <c r="BT22" i="5"/>
  <c r="BS23" i="5"/>
  <c r="BT23" i="5"/>
  <c r="BS24" i="5"/>
  <c r="BT24" i="5"/>
  <c r="BS25" i="5"/>
  <c r="BT25" i="5"/>
  <c r="BT15" i="5"/>
  <c r="BT17" i="5"/>
  <c r="BT9" i="5"/>
  <c r="BG13" i="5"/>
  <c r="BG14" i="5"/>
  <c r="BG15" i="5"/>
  <c r="BG16" i="5"/>
  <c r="BG17" i="5"/>
  <c r="BG21" i="5"/>
  <c r="BG22" i="5"/>
  <c r="BG23" i="5"/>
  <c r="BG24" i="5"/>
  <c r="BG25" i="5"/>
  <c r="BG29" i="5"/>
  <c r="BG30" i="5"/>
  <c r="BG31" i="5"/>
  <c r="BG32" i="5"/>
  <c r="BG33" i="5"/>
  <c r="BG37" i="5"/>
  <c r="BG38" i="5"/>
  <c r="BG39" i="5"/>
  <c r="BG40" i="5"/>
  <c r="BG41" i="5"/>
  <c r="BG45" i="5"/>
  <c r="BG46" i="5"/>
  <c r="BG47" i="5"/>
  <c r="BG48" i="5"/>
  <c r="BG49" i="5"/>
  <c r="AW13" i="5"/>
  <c r="BT13" i="5" s="1"/>
  <c r="AW14" i="5"/>
  <c r="BT14" i="5" s="1"/>
  <c r="AW15" i="5"/>
  <c r="AW16" i="5"/>
  <c r="BT16" i="5" s="1"/>
  <c r="AW17" i="5"/>
  <c r="AW21" i="5"/>
  <c r="AW22" i="5"/>
  <c r="AW23" i="5"/>
  <c r="AW24" i="5"/>
  <c r="AW25" i="5"/>
  <c r="AW29" i="5"/>
  <c r="AW30" i="5"/>
  <c r="AW31" i="5"/>
  <c r="AW32" i="5"/>
  <c r="AW33" i="5"/>
  <c r="AW37" i="5"/>
  <c r="AW38" i="5"/>
  <c r="AW39" i="5"/>
  <c r="AW40" i="5"/>
  <c r="AW41" i="5"/>
  <c r="AW45" i="5"/>
  <c r="AW46" i="5"/>
  <c r="AW47" i="5"/>
  <c r="AW48" i="5"/>
  <c r="AW49" i="5"/>
  <c r="BT6" i="5"/>
  <c r="BT7" i="5"/>
  <c r="BT8" i="5"/>
  <c r="BG6" i="5"/>
  <c r="BG7" i="5"/>
  <c r="BG8" i="5"/>
  <c r="BG9" i="5"/>
  <c r="BG5" i="5"/>
  <c r="AW6" i="5"/>
  <c r="AW7" i="5"/>
  <c r="AW8" i="5"/>
  <c r="AW9" i="5"/>
  <c r="AW5" i="5"/>
  <c r="BA4" i="5"/>
  <c r="BB4" i="5"/>
  <c r="BC4" i="5"/>
  <c r="BD4" i="5"/>
  <c r="BE4" i="5"/>
  <c r="BF4" i="5"/>
  <c r="BA5" i="5"/>
  <c r="BB5" i="5"/>
  <c r="BC5" i="5"/>
  <c r="BD5" i="5"/>
  <c r="BE5" i="5"/>
  <c r="BF5" i="5"/>
  <c r="BA6" i="5"/>
  <c r="BB6" i="5"/>
  <c r="BC6" i="5"/>
  <c r="BD6" i="5"/>
  <c r="BE6" i="5"/>
  <c r="BF6" i="5"/>
  <c r="BA7" i="5"/>
  <c r="BB7" i="5"/>
  <c r="BC7" i="5"/>
  <c r="BD7" i="5"/>
  <c r="BE7" i="5"/>
  <c r="BF7" i="5"/>
  <c r="BA8" i="5"/>
  <c r="BB8" i="5"/>
  <c r="BC8" i="5"/>
  <c r="BD8" i="5"/>
  <c r="BE8" i="5"/>
  <c r="BF8" i="5"/>
  <c r="BA9" i="5"/>
  <c r="BB9" i="5"/>
  <c r="BC9" i="5"/>
  <c r="BD9" i="5"/>
  <c r="BE9" i="5"/>
  <c r="BF9" i="5"/>
  <c r="BA12" i="5"/>
  <c r="BB12" i="5"/>
  <c r="BC12" i="5"/>
  <c r="BD12" i="5"/>
  <c r="BE12" i="5"/>
  <c r="BF12" i="5"/>
  <c r="BA13" i="5"/>
  <c r="BB13" i="5"/>
  <c r="BC13" i="5"/>
  <c r="BD13" i="5"/>
  <c r="BE13" i="5"/>
  <c r="BF13" i="5"/>
  <c r="BA14" i="5"/>
  <c r="BB14" i="5"/>
  <c r="BC14" i="5"/>
  <c r="BD14" i="5"/>
  <c r="BE14" i="5"/>
  <c r="BF14" i="5"/>
  <c r="BA15" i="5"/>
  <c r="BB15" i="5"/>
  <c r="BC15" i="5"/>
  <c r="BD15" i="5"/>
  <c r="BE15" i="5"/>
  <c r="BF15" i="5"/>
  <c r="BA16" i="5"/>
  <c r="BB16" i="5"/>
  <c r="BC16" i="5"/>
  <c r="BD16" i="5"/>
  <c r="BE16" i="5"/>
  <c r="BF16" i="5"/>
  <c r="BA17" i="5"/>
  <c r="BB17" i="5"/>
  <c r="BC17" i="5"/>
  <c r="BD17" i="5"/>
  <c r="BE17" i="5"/>
  <c r="BF17" i="5"/>
  <c r="BA20" i="5"/>
  <c r="BB20" i="5"/>
  <c r="BC20" i="5"/>
  <c r="BD20" i="5"/>
  <c r="BE20" i="5"/>
  <c r="BF20" i="5"/>
  <c r="BA21" i="5"/>
  <c r="BB21" i="5"/>
  <c r="BC21" i="5"/>
  <c r="BD21" i="5"/>
  <c r="BE21" i="5"/>
  <c r="BF21" i="5"/>
  <c r="BA22" i="5"/>
  <c r="BB22" i="5"/>
  <c r="BC22" i="5"/>
  <c r="BD22" i="5"/>
  <c r="BE22" i="5"/>
  <c r="BF22" i="5"/>
  <c r="BA23" i="5"/>
  <c r="BB23" i="5"/>
  <c r="BC23" i="5"/>
  <c r="BD23" i="5"/>
  <c r="BE23" i="5"/>
  <c r="BF23" i="5"/>
  <c r="BA24" i="5"/>
  <c r="BB24" i="5"/>
  <c r="BC24" i="5"/>
  <c r="BD24" i="5"/>
  <c r="BE24" i="5"/>
  <c r="BF24" i="5"/>
  <c r="BA25" i="5"/>
  <c r="BB25" i="5"/>
  <c r="BC25" i="5"/>
  <c r="BD25" i="5"/>
  <c r="BE25" i="5"/>
  <c r="BF25" i="5"/>
  <c r="BA28" i="5"/>
  <c r="BB28" i="5"/>
  <c r="BC28" i="5"/>
  <c r="BD28" i="5"/>
  <c r="BE28" i="5"/>
  <c r="BF28" i="5"/>
  <c r="BA29" i="5"/>
  <c r="BB29" i="5"/>
  <c r="BC29" i="5"/>
  <c r="BD29" i="5"/>
  <c r="BE29" i="5"/>
  <c r="BF29" i="5"/>
  <c r="BA30" i="5"/>
  <c r="BB30" i="5"/>
  <c r="BC30" i="5"/>
  <c r="BD30" i="5"/>
  <c r="BE30" i="5"/>
  <c r="BF30" i="5"/>
  <c r="BA31" i="5"/>
  <c r="BB31" i="5"/>
  <c r="BC31" i="5"/>
  <c r="BD31" i="5"/>
  <c r="BE31" i="5"/>
  <c r="BF31" i="5"/>
  <c r="BA32" i="5"/>
  <c r="BB32" i="5"/>
  <c r="BC32" i="5"/>
  <c r="BD32" i="5"/>
  <c r="BE32" i="5"/>
  <c r="BF32" i="5"/>
  <c r="BA33" i="5"/>
  <c r="BB33" i="5"/>
  <c r="BC33" i="5"/>
  <c r="BD33" i="5"/>
  <c r="BE33" i="5"/>
  <c r="BF33" i="5"/>
  <c r="BA36" i="5"/>
  <c r="BB36" i="5"/>
  <c r="BC36" i="5"/>
  <c r="BD36" i="5"/>
  <c r="BE36" i="5"/>
  <c r="BF36" i="5"/>
  <c r="BA37" i="5"/>
  <c r="BB37" i="5"/>
  <c r="BC37" i="5"/>
  <c r="BD37" i="5"/>
  <c r="BE37" i="5"/>
  <c r="BF37" i="5"/>
  <c r="BA38" i="5"/>
  <c r="BB38" i="5"/>
  <c r="BC38" i="5"/>
  <c r="BD38" i="5"/>
  <c r="BE38" i="5"/>
  <c r="BF38" i="5"/>
  <c r="BA39" i="5"/>
  <c r="BB39" i="5"/>
  <c r="BC39" i="5"/>
  <c r="BD39" i="5"/>
  <c r="BE39" i="5"/>
  <c r="BF39" i="5"/>
  <c r="BA40" i="5"/>
  <c r="BB40" i="5"/>
  <c r="BC40" i="5"/>
  <c r="BD40" i="5"/>
  <c r="BE40" i="5"/>
  <c r="BF40" i="5"/>
  <c r="BA41" i="5"/>
  <c r="BB41" i="5"/>
  <c r="BC41" i="5"/>
  <c r="BD41" i="5"/>
  <c r="BE41" i="5"/>
  <c r="BF41" i="5"/>
  <c r="BA44" i="5"/>
  <c r="BB44" i="5"/>
  <c r="BC44" i="5"/>
  <c r="BD44" i="5"/>
  <c r="BE44" i="5"/>
  <c r="BF44" i="5"/>
  <c r="BA45" i="5"/>
  <c r="BB45" i="5"/>
  <c r="BC45" i="5"/>
  <c r="BD45" i="5"/>
  <c r="BE45" i="5"/>
  <c r="BF45" i="5"/>
  <c r="BA46" i="5"/>
  <c r="BB46" i="5"/>
  <c r="BC46" i="5"/>
  <c r="BD46" i="5"/>
  <c r="BE46" i="5"/>
  <c r="BF46" i="5"/>
  <c r="BA47" i="5"/>
  <c r="BB47" i="5"/>
  <c r="BC47" i="5"/>
  <c r="BD47" i="5"/>
  <c r="BE47" i="5"/>
  <c r="BF47" i="5"/>
  <c r="BA48" i="5"/>
  <c r="BB48" i="5"/>
  <c r="BC48" i="5"/>
  <c r="BD48" i="5"/>
  <c r="BE48" i="5"/>
  <c r="BF48" i="5"/>
  <c r="BA49" i="5"/>
  <c r="BB49" i="5"/>
  <c r="BC49" i="5"/>
  <c r="BD49" i="5"/>
  <c r="BE49" i="5"/>
  <c r="BF49" i="5"/>
  <c r="AZ5" i="5"/>
  <c r="AZ6" i="5"/>
  <c r="AZ7" i="5"/>
  <c r="AZ8" i="5"/>
  <c r="AZ9" i="5"/>
  <c r="AZ12" i="5"/>
  <c r="AZ13" i="5"/>
  <c r="AZ14" i="5"/>
  <c r="AZ15" i="5"/>
  <c r="AZ16" i="5"/>
  <c r="AZ17" i="5"/>
  <c r="AZ20" i="5"/>
  <c r="AZ21" i="5"/>
  <c r="AZ22" i="5"/>
  <c r="AZ23" i="5"/>
  <c r="AZ24" i="5"/>
  <c r="AZ25" i="5"/>
  <c r="AZ28" i="5"/>
  <c r="AZ29" i="5"/>
  <c r="AZ30" i="5"/>
  <c r="AZ31" i="5"/>
  <c r="AZ32" i="5"/>
  <c r="AZ33" i="5"/>
  <c r="AZ36" i="5"/>
  <c r="AZ37" i="5"/>
  <c r="AZ38" i="5"/>
  <c r="AZ39" i="5"/>
  <c r="AZ40" i="5"/>
  <c r="AZ41" i="5"/>
  <c r="AZ44" i="5"/>
  <c r="AZ45" i="5"/>
  <c r="AZ46" i="5"/>
  <c r="AZ47" i="5"/>
  <c r="AZ48" i="5"/>
  <c r="AZ49" i="5"/>
  <c r="AZ4" i="5"/>
  <c r="AQ4" i="5"/>
  <c r="AR4" i="5"/>
  <c r="AS4" i="5"/>
  <c r="AT4" i="5"/>
  <c r="AU4" i="5"/>
  <c r="AV4" i="5"/>
  <c r="AQ5" i="5"/>
  <c r="BN5" i="5" s="1"/>
  <c r="AR5" i="5"/>
  <c r="BO5" i="5" s="1"/>
  <c r="AS5" i="5"/>
  <c r="AT5" i="5"/>
  <c r="AU5" i="5"/>
  <c r="AV5" i="5"/>
  <c r="AQ6" i="5"/>
  <c r="AR6" i="5"/>
  <c r="BO6" i="5" s="1"/>
  <c r="AS6" i="5"/>
  <c r="BP6" i="5" s="1"/>
  <c r="AT6" i="5"/>
  <c r="BQ6" i="5" s="1"/>
  <c r="AU6" i="5"/>
  <c r="BR6" i="5" s="1"/>
  <c r="AV6" i="5"/>
  <c r="BS6" i="5" s="1"/>
  <c r="AQ7" i="5"/>
  <c r="BN7" i="5" s="1"/>
  <c r="AR7" i="5"/>
  <c r="BO7" i="5" s="1"/>
  <c r="AS7" i="5"/>
  <c r="BP7" i="5" s="1"/>
  <c r="AT7" i="5"/>
  <c r="BQ7" i="5" s="1"/>
  <c r="AU7" i="5"/>
  <c r="BR7" i="5" s="1"/>
  <c r="AV7" i="5"/>
  <c r="AQ8" i="5"/>
  <c r="BN8" i="5" s="1"/>
  <c r="AR8" i="5"/>
  <c r="AS8" i="5"/>
  <c r="BP8" i="5" s="1"/>
  <c r="AT8" i="5"/>
  <c r="BQ8" i="5" s="1"/>
  <c r="AU8" i="5"/>
  <c r="BR8" i="5" s="1"/>
  <c r="AV8" i="5"/>
  <c r="AQ9" i="5"/>
  <c r="AR9" i="5"/>
  <c r="AS9" i="5"/>
  <c r="AT9" i="5"/>
  <c r="AU9" i="5"/>
  <c r="AV9" i="5"/>
  <c r="AQ12" i="5"/>
  <c r="BN12" i="5" s="1"/>
  <c r="AR12" i="5"/>
  <c r="BO12" i="5" s="1"/>
  <c r="AS12" i="5"/>
  <c r="AT12" i="5"/>
  <c r="BQ12" i="5" s="1"/>
  <c r="AU12" i="5"/>
  <c r="BR12" i="5" s="1"/>
  <c r="AV12" i="5"/>
  <c r="BS12" i="5" s="1"/>
  <c r="AQ13" i="5"/>
  <c r="BN13" i="5" s="1"/>
  <c r="AR13" i="5"/>
  <c r="BO13" i="5" s="1"/>
  <c r="AS13" i="5"/>
  <c r="BP13" i="5" s="1"/>
  <c r="AT13" i="5"/>
  <c r="BQ13" i="5" s="1"/>
  <c r="AU13" i="5"/>
  <c r="BR13" i="5" s="1"/>
  <c r="AV13" i="5"/>
  <c r="BS13" i="5" s="1"/>
  <c r="AQ14" i="5"/>
  <c r="BN14" i="5" s="1"/>
  <c r="AR14" i="5"/>
  <c r="BO14" i="5" s="1"/>
  <c r="AS14" i="5"/>
  <c r="BP14" i="5" s="1"/>
  <c r="AT14" i="5"/>
  <c r="BQ14" i="5" s="1"/>
  <c r="AU14" i="5"/>
  <c r="BR14" i="5" s="1"/>
  <c r="AV14" i="5"/>
  <c r="BS14" i="5" s="1"/>
  <c r="AQ15" i="5"/>
  <c r="BN15" i="5" s="1"/>
  <c r="AR15" i="5"/>
  <c r="BO15" i="5" s="1"/>
  <c r="AS15" i="5"/>
  <c r="BP15" i="5" s="1"/>
  <c r="AT15" i="5"/>
  <c r="BQ15" i="5" s="1"/>
  <c r="AU15" i="5"/>
  <c r="BR15" i="5" s="1"/>
  <c r="AV15" i="5"/>
  <c r="BS15" i="5" s="1"/>
  <c r="AQ16" i="5"/>
  <c r="BN16" i="5" s="1"/>
  <c r="AR16" i="5"/>
  <c r="BO16" i="5" s="1"/>
  <c r="AS16" i="5"/>
  <c r="BP16" i="5" s="1"/>
  <c r="AT16" i="5"/>
  <c r="BQ16" i="5" s="1"/>
  <c r="AU16" i="5"/>
  <c r="BR16" i="5" s="1"/>
  <c r="AV16" i="5"/>
  <c r="BS16" i="5" s="1"/>
  <c r="AQ17" i="5"/>
  <c r="BN17" i="5" s="1"/>
  <c r="AR17" i="5"/>
  <c r="BO17" i="5" s="1"/>
  <c r="AS17" i="5"/>
  <c r="BP17" i="5" s="1"/>
  <c r="AT17" i="5"/>
  <c r="BQ17" i="5" s="1"/>
  <c r="AU17" i="5"/>
  <c r="BR17" i="5" s="1"/>
  <c r="AV17" i="5"/>
  <c r="BS17" i="5" s="1"/>
  <c r="AQ20" i="5"/>
  <c r="BN20" i="5" s="1"/>
  <c r="AR20" i="5"/>
  <c r="BO20" i="5" s="1"/>
  <c r="AS20" i="5"/>
  <c r="BP20" i="5" s="1"/>
  <c r="AT20" i="5"/>
  <c r="BQ20" i="5" s="1"/>
  <c r="AU20" i="5"/>
  <c r="BR20" i="5" s="1"/>
  <c r="AV20" i="5"/>
  <c r="BS20" i="5" s="1"/>
  <c r="AQ21" i="5"/>
  <c r="BN21" i="5" s="1"/>
  <c r="AR21" i="5"/>
  <c r="BO21" i="5" s="1"/>
  <c r="AS21" i="5"/>
  <c r="BP21" i="5" s="1"/>
  <c r="AT21" i="5"/>
  <c r="BQ21" i="5" s="1"/>
  <c r="AU21" i="5"/>
  <c r="BR21" i="5" s="1"/>
  <c r="AV21" i="5"/>
  <c r="AQ22" i="5"/>
  <c r="BN22" i="5" s="1"/>
  <c r="AR22" i="5"/>
  <c r="BO22" i="5" s="1"/>
  <c r="AS22" i="5"/>
  <c r="BP22" i="5" s="1"/>
  <c r="AT22" i="5"/>
  <c r="BQ22" i="5" s="1"/>
  <c r="AU22" i="5"/>
  <c r="BR22" i="5" s="1"/>
  <c r="AV22" i="5"/>
  <c r="AQ23" i="5"/>
  <c r="BN23" i="5" s="1"/>
  <c r="AR23" i="5"/>
  <c r="BO23" i="5" s="1"/>
  <c r="AS23" i="5"/>
  <c r="BP23" i="5" s="1"/>
  <c r="AT23" i="5"/>
  <c r="BQ23" i="5" s="1"/>
  <c r="AU23" i="5"/>
  <c r="BR23" i="5" s="1"/>
  <c r="AV23" i="5"/>
  <c r="AQ24" i="5"/>
  <c r="BN24" i="5" s="1"/>
  <c r="AR24" i="5"/>
  <c r="BO24" i="5" s="1"/>
  <c r="AS24" i="5"/>
  <c r="BP24" i="5" s="1"/>
  <c r="AT24" i="5"/>
  <c r="BQ24" i="5" s="1"/>
  <c r="AU24" i="5"/>
  <c r="BR24" i="5" s="1"/>
  <c r="AV24" i="5"/>
  <c r="AQ25" i="5"/>
  <c r="BN25" i="5" s="1"/>
  <c r="AR25" i="5"/>
  <c r="BO25" i="5" s="1"/>
  <c r="AS25" i="5"/>
  <c r="BP25" i="5" s="1"/>
  <c r="AT25" i="5"/>
  <c r="BQ25" i="5" s="1"/>
  <c r="AU25" i="5"/>
  <c r="BR25" i="5" s="1"/>
  <c r="AV25" i="5"/>
  <c r="AQ28" i="5"/>
  <c r="BN28" i="5" s="1"/>
  <c r="AR28" i="5"/>
  <c r="BO28" i="5" s="1"/>
  <c r="AS28" i="5"/>
  <c r="BP28" i="5" s="1"/>
  <c r="AT28" i="5"/>
  <c r="BQ28" i="5" s="1"/>
  <c r="AU28" i="5"/>
  <c r="BR28" i="5" s="1"/>
  <c r="AV28" i="5"/>
  <c r="BS28" i="5" s="1"/>
  <c r="AQ29" i="5"/>
  <c r="BN29" i="5" s="1"/>
  <c r="AR29" i="5"/>
  <c r="BO29" i="5" s="1"/>
  <c r="AS29" i="5"/>
  <c r="BP29" i="5" s="1"/>
  <c r="AT29" i="5"/>
  <c r="BQ29" i="5" s="1"/>
  <c r="AU29" i="5"/>
  <c r="BR29" i="5" s="1"/>
  <c r="AV29" i="5"/>
  <c r="AQ30" i="5"/>
  <c r="BN30" i="5" s="1"/>
  <c r="AR30" i="5"/>
  <c r="BO30" i="5" s="1"/>
  <c r="AS30" i="5"/>
  <c r="BP30" i="5" s="1"/>
  <c r="AT30" i="5"/>
  <c r="BQ30" i="5" s="1"/>
  <c r="AU30" i="5"/>
  <c r="BR30" i="5" s="1"/>
  <c r="AV30" i="5"/>
  <c r="AQ31" i="5"/>
  <c r="BN31" i="5" s="1"/>
  <c r="AR31" i="5"/>
  <c r="BO31" i="5" s="1"/>
  <c r="AS31" i="5"/>
  <c r="BP31" i="5" s="1"/>
  <c r="AT31" i="5"/>
  <c r="BQ31" i="5" s="1"/>
  <c r="AU31" i="5"/>
  <c r="BR31" i="5" s="1"/>
  <c r="AV31" i="5"/>
  <c r="AQ32" i="5"/>
  <c r="BN32" i="5" s="1"/>
  <c r="AR32" i="5"/>
  <c r="BO32" i="5" s="1"/>
  <c r="AS32" i="5"/>
  <c r="BP32" i="5" s="1"/>
  <c r="AT32" i="5"/>
  <c r="BQ32" i="5" s="1"/>
  <c r="AU32" i="5"/>
  <c r="BR32" i="5" s="1"/>
  <c r="AV32" i="5"/>
  <c r="AQ33" i="5"/>
  <c r="BN33" i="5" s="1"/>
  <c r="AR33" i="5"/>
  <c r="BO33" i="5" s="1"/>
  <c r="AS33" i="5"/>
  <c r="BP33" i="5" s="1"/>
  <c r="AT33" i="5"/>
  <c r="BQ33" i="5" s="1"/>
  <c r="AU33" i="5"/>
  <c r="BR33" i="5" s="1"/>
  <c r="AV33" i="5"/>
  <c r="AQ36" i="5"/>
  <c r="BN36" i="5" s="1"/>
  <c r="AR36" i="5"/>
  <c r="BO36" i="5" s="1"/>
  <c r="AS36" i="5"/>
  <c r="BP36" i="5" s="1"/>
  <c r="AT36" i="5"/>
  <c r="BQ36" i="5" s="1"/>
  <c r="AU36" i="5"/>
  <c r="BR36" i="5" s="1"/>
  <c r="AV36" i="5"/>
  <c r="BS36" i="5" s="1"/>
  <c r="AQ37" i="5"/>
  <c r="BN37" i="5" s="1"/>
  <c r="AR37" i="5"/>
  <c r="BO37" i="5" s="1"/>
  <c r="AS37" i="5"/>
  <c r="BP37" i="5" s="1"/>
  <c r="AT37" i="5"/>
  <c r="BQ37" i="5" s="1"/>
  <c r="AU37" i="5"/>
  <c r="BR37" i="5" s="1"/>
  <c r="AV37" i="5"/>
  <c r="AQ38" i="5"/>
  <c r="BN38" i="5" s="1"/>
  <c r="AR38" i="5"/>
  <c r="BO38" i="5" s="1"/>
  <c r="AS38" i="5"/>
  <c r="BP38" i="5" s="1"/>
  <c r="AT38" i="5"/>
  <c r="BQ38" i="5" s="1"/>
  <c r="AU38" i="5"/>
  <c r="BR38" i="5" s="1"/>
  <c r="AV38" i="5"/>
  <c r="AQ39" i="5"/>
  <c r="BN39" i="5" s="1"/>
  <c r="AR39" i="5"/>
  <c r="BO39" i="5" s="1"/>
  <c r="AS39" i="5"/>
  <c r="BP39" i="5" s="1"/>
  <c r="AT39" i="5"/>
  <c r="BQ39" i="5" s="1"/>
  <c r="AU39" i="5"/>
  <c r="BR39" i="5" s="1"/>
  <c r="AV39" i="5"/>
  <c r="AQ40" i="5"/>
  <c r="BN40" i="5" s="1"/>
  <c r="AR40" i="5"/>
  <c r="BO40" i="5" s="1"/>
  <c r="AS40" i="5"/>
  <c r="BP40" i="5" s="1"/>
  <c r="AT40" i="5"/>
  <c r="BQ40" i="5" s="1"/>
  <c r="AU40" i="5"/>
  <c r="BR40" i="5" s="1"/>
  <c r="AV40" i="5"/>
  <c r="AQ41" i="5"/>
  <c r="BN41" i="5" s="1"/>
  <c r="AR41" i="5"/>
  <c r="BO41" i="5" s="1"/>
  <c r="AS41" i="5"/>
  <c r="BP41" i="5" s="1"/>
  <c r="AT41" i="5"/>
  <c r="BQ41" i="5" s="1"/>
  <c r="AU41" i="5"/>
  <c r="BR41" i="5" s="1"/>
  <c r="AV41" i="5"/>
  <c r="AQ44" i="5"/>
  <c r="BN44" i="5" s="1"/>
  <c r="AR44" i="5"/>
  <c r="BO44" i="5" s="1"/>
  <c r="AS44" i="5"/>
  <c r="BP44" i="5" s="1"/>
  <c r="AT44" i="5"/>
  <c r="BQ44" i="5" s="1"/>
  <c r="AU44" i="5"/>
  <c r="BR44" i="5" s="1"/>
  <c r="AV44" i="5"/>
  <c r="BS44" i="5" s="1"/>
  <c r="AQ45" i="5"/>
  <c r="BN45" i="5" s="1"/>
  <c r="AR45" i="5"/>
  <c r="BO45" i="5" s="1"/>
  <c r="AS45" i="5"/>
  <c r="BP45" i="5" s="1"/>
  <c r="AT45" i="5"/>
  <c r="BQ45" i="5" s="1"/>
  <c r="AU45" i="5"/>
  <c r="BR45" i="5" s="1"/>
  <c r="AV45" i="5"/>
  <c r="AQ46" i="5"/>
  <c r="BN46" i="5" s="1"/>
  <c r="AR46" i="5"/>
  <c r="BO46" i="5" s="1"/>
  <c r="AS46" i="5"/>
  <c r="BP46" i="5" s="1"/>
  <c r="AT46" i="5"/>
  <c r="BQ46" i="5" s="1"/>
  <c r="AU46" i="5"/>
  <c r="BR46" i="5" s="1"/>
  <c r="AV46" i="5"/>
  <c r="AQ47" i="5"/>
  <c r="BN47" i="5" s="1"/>
  <c r="AR47" i="5"/>
  <c r="BO47" i="5" s="1"/>
  <c r="AS47" i="5"/>
  <c r="BP47" i="5" s="1"/>
  <c r="AT47" i="5"/>
  <c r="BQ47" i="5" s="1"/>
  <c r="AU47" i="5"/>
  <c r="BR47" i="5" s="1"/>
  <c r="AV47" i="5"/>
  <c r="AQ48" i="5"/>
  <c r="BN48" i="5" s="1"/>
  <c r="AR48" i="5"/>
  <c r="BO48" i="5" s="1"/>
  <c r="AS48" i="5"/>
  <c r="BP48" i="5" s="1"/>
  <c r="AT48" i="5"/>
  <c r="BQ48" i="5" s="1"/>
  <c r="AU48" i="5"/>
  <c r="BR48" i="5" s="1"/>
  <c r="AV48" i="5"/>
  <c r="AQ49" i="5"/>
  <c r="BN49" i="5" s="1"/>
  <c r="AR49" i="5"/>
  <c r="BO49" i="5" s="1"/>
  <c r="AS49" i="5"/>
  <c r="BP49" i="5" s="1"/>
  <c r="AT49" i="5"/>
  <c r="BQ49" i="5" s="1"/>
  <c r="AU49" i="5"/>
  <c r="BR49" i="5" s="1"/>
  <c r="AV49" i="5"/>
  <c r="AP5" i="5"/>
  <c r="BM5" i="5" s="1"/>
  <c r="AP6" i="5"/>
  <c r="AP7" i="5"/>
  <c r="AP8" i="5"/>
  <c r="BM8" i="5" s="1"/>
  <c r="AP9" i="5"/>
  <c r="AP12" i="5"/>
  <c r="BM12" i="5" s="1"/>
  <c r="AP13" i="5"/>
  <c r="BM13" i="5" s="1"/>
  <c r="AP14" i="5"/>
  <c r="BM14" i="5" s="1"/>
  <c r="AP15" i="5"/>
  <c r="BM15" i="5" s="1"/>
  <c r="AP16" i="5"/>
  <c r="BM16" i="5" s="1"/>
  <c r="AP17" i="5"/>
  <c r="BM17" i="5" s="1"/>
  <c r="AP20" i="5"/>
  <c r="BM20" i="5" s="1"/>
  <c r="AP21" i="5"/>
  <c r="BM21" i="5" s="1"/>
  <c r="AP22" i="5"/>
  <c r="BM22" i="5" s="1"/>
  <c r="AP23" i="5"/>
  <c r="BM23" i="5" s="1"/>
  <c r="AP24" i="5"/>
  <c r="BM24" i="5" s="1"/>
  <c r="AP25" i="5"/>
  <c r="BM25" i="5" s="1"/>
  <c r="AP28" i="5"/>
  <c r="BM28" i="5" s="1"/>
  <c r="AP29" i="5"/>
  <c r="BM29" i="5" s="1"/>
  <c r="AP30" i="5"/>
  <c r="BM30" i="5" s="1"/>
  <c r="AP31" i="5"/>
  <c r="BM31" i="5" s="1"/>
  <c r="AP32" i="5"/>
  <c r="BM32" i="5" s="1"/>
  <c r="AP33" i="5"/>
  <c r="BM33" i="5" s="1"/>
  <c r="AP36" i="5"/>
  <c r="BM36" i="5" s="1"/>
  <c r="AP37" i="5"/>
  <c r="BM37" i="5" s="1"/>
  <c r="AP38" i="5"/>
  <c r="BM38" i="5" s="1"/>
  <c r="AP39" i="5"/>
  <c r="BM39" i="5" s="1"/>
  <c r="AP40" i="5"/>
  <c r="BM40" i="5" s="1"/>
  <c r="AP41" i="5"/>
  <c r="BM41" i="5" s="1"/>
  <c r="AP44" i="5"/>
  <c r="BM44" i="5" s="1"/>
  <c r="AP45" i="5"/>
  <c r="BM45" i="5" s="1"/>
  <c r="AP46" i="5"/>
  <c r="BM46" i="5" s="1"/>
  <c r="AP47" i="5"/>
  <c r="BM47" i="5" s="1"/>
  <c r="AP48" i="5"/>
  <c r="BM48" i="5" s="1"/>
  <c r="AP49" i="5"/>
  <c r="BM49" i="5" s="1"/>
  <c r="AP4" i="5"/>
  <c r="BP12" i="5" l="1"/>
  <c r="BS7" i="5"/>
  <c r="BW33" i="5"/>
  <c r="BW31" i="5"/>
  <c r="BW20" i="5"/>
  <c r="BW15" i="5"/>
  <c r="BW36" i="5"/>
  <c r="BW47" i="5"/>
  <c r="BW46" i="5"/>
  <c r="BW30" i="5"/>
  <c r="BW14" i="5"/>
  <c r="BW45" i="5"/>
  <c r="BW29" i="5"/>
  <c r="BW13" i="5"/>
  <c r="BW39" i="5"/>
  <c r="BW38" i="5"/>
  <c r="BW24" i="5"/>
  <c r="BW49" i="5"/>
  <c r="BW41" i="5"/>
  <c r="BW40" i="5"/>
  <c r="BW23" i="5"/>
  <c r="BW22" i="5"/>
  <c r="BW48" i="5"/>
  <c r="BW32" i="5"/>
  <c r="BW16" i="5"/>
  <c r="BW37" i="5"/>
  <c r="BW25" i="5"/>
  <c r="BW44" i="5"/>
  <c r="BW28" i="5"/>
  <c r="BW12" i="5"/>
  <c r="BW21" i="5"/>
  <c r="BW17" i="5"/>
  <c r="BN6" i="5"/>
  <c r="BR9" i="5"/>
  <c r="BR5" i="5"/>
  <c r="BM6" i="5"/>
  <c r="BW6" i="5" s="1"/>
  <c r="BO4" i="5"/>
  <c r="BS5" i="5"/>
  <c r="BQ9" i="5"/>
  <c r="BQ5" i="5"/>
  <c r="BM7" i="5"/>
  <c r="BW7" i="5" s="1"/>
  <c r="BO8" i="5"/>
  <c r="BM4" i="5"/>
  <c r="BS9" i="5"/>
  <c r="BP9" i="5"/>
  <c r="BP5" i="5"/>
  <c r="BN4" i="5"/>
  <c r="BO9" i="5"/>
  <c r="BN9" i="5"/>
  <c r="BM9" i="5"/>
  <c r="BR4" i="5"/>
  <c r="BS8" i="5"/>
  <c r="BQ4" i="5"/>
  <c r="BS4" i="5"/>
  <c r="BP4" i="5"/>
  <c r="K20" i="1"/>
  <c r="K21" i="1"/>
  <c r="K38" i="1"/>
  <c r="K56" i="1"/>
  <c r="K74" i="1"/>
  <c r="K75" i="1"/>
  <c r="K22" i="1"/>
  <c r="K23" i="1"/>
  <c r="K24" i="1"/>
  <c r="K25" i="1"/>
  <c r="K39" i="1"/>
  <c r="K40" i="1"/>
  <c r="K41" i="1"/>
  <c r="K42" i="1"/>
  <c r="K43" i="1"/>
  <c r="K57" i="1"/>
  <c r="K58" i="1"/>
  <c r="K59" i="1"/>
  <c r="K60" i="1"/>
  <c r="K61" i="1"/>
  <c r="K76" i="1"/>
  <c r="K77" i="1"/>
  <c r="K78" i="1"/>
  <c r="K79" i="1"/>
  <c r="K93" i="1"/>
  <c r="K94" i="1"/>
  <c r="K95" i="1"/>
  <c r="K96" i="1"/>
  <c r="K97" i="1"/>
  <c r="K98" i="1"/>
  <c r="K8" i="1"/>
  <c r="K7" i="1"/>
  <c r="K6" i="1"/>
  <c r="K5" i="1"/>
  <c r="K4" i="1"/>
  <c r="K3" i="1"/>
  <c r="K3" i="2"/>
  <c r="K4" i="2"/>
  <c r="K5" i="2"/>
  <c r="K6" i="2"/>
  <c r="K7" i="2"/>
  <c r="K8" i="2"/>
  <c r="K11" i="2"/>
  <c r="K12" i="2"/>
  <c r="K13" i="2"/>
  <c r="K14" i="2"/>
  <c r="K15" i="2"/>
  <c r="K16" i="2"/>
  <c r="K19" i="2"/>
  <c r="K20" i="2"/>
  <c r="K21" i="2"/>
  <c r="K22" i="2"/>
  <c r="K23" i="2"/>
  <c r="K24" i="2"/>
  <c r="K27" i="2"/>
  <c r="K28" i="2"/>
  <c r="K29" i="2"/>
  <c r="K30" i="2"/>
  <c r="K31" i="2"/>
  <c r="K32" i="2"/>
  <c r="K35" i="2"/>
  <c r="K36" i="2"/>
  <c r="K37" i="2"/>
  <c r="K38" i="2"/>
  <c r="K39" i="2"/>
  <c r="K40" i="2"/>
  <c r="K44" i="2"/>
  <c r="K45" i="2"/>
  <c r="K46" i="2"/>
  <c r="K47" i="2"/>
  <c r="K48" i="2"/>
  <c r="K43" i="2"/>
  <c r="K48" i="3"/>
  <c r="K47" i="3"/>
  <c r="K46" i="3"/>
  <c r="K45" i="3"/>
  <c r="K44" i="3"/>
  <c r="K43" i="3"/>
  <c r="K40" i="3"/>
  <c r="K39" i="3"/>
  <c r="K38" i="3"/>
  <c r="K37" i="3"/>
  <c r="K36" i="3"/>
  <c r="K35" i="3"/>
  <c r="K32" i="3"/>
  <c r="K31" i="3"/>
  <c r="K30" i="3"/>
  <c r="K29" i="3"/>
  <c r="K28" i="3"/>
  <c r="K27" i="3"/>
  <c r="K24" i="3"/>
  <c r="K23" i="3"/>
  <c r="K22" i="3"/>
  <c r="K21" i="3"/>
  <c r="K20" i="3"/>
  <c r="K19" i="3"/>
  <c r="K16" i="3"/>
  <c r="K15" i="3"/>
  <c r="K14" i="3"/>
  <c r="K13" i="3"/>
  <c r="K12" i="3"/>
  <c r="K11" i="3"/>
  <c r="K8" i="3"/>
  <c r="K7" i="3"/>
  <c r="K6" i="3"/>
  <c r="K5" i="3"/>
  <c r="K4" i="3"/>
  <c r="K3" i="3"/>
  <c r="K11" i="4"/>
  <c r="K12" i="4"/>
  <c r="K13" i="4"/>
  <c r="K14" i="4"/>
  <c r="K15" i="4"/>
  <c r="K16" i="4"/>
  <c r="K19" i="4"/>
  <c r="K20" i="4"/>
  <c r="K21" i="4"/>
  <c r="K22" i="4"/>
  <c r="K23" i="4"/>
  <c r="K24" i="4"/>
  <c r="K27" i="4"/>
  <c r="K28" i="4"/>
  <c r="K29" i="4"/>
  <c r="K30" i="4"/>
  <c r="K31" i="4"/>
  <c r="K32" i="4"/>
  <c r="K35" i="4"/>
  <c r="K36" i="4"/>
  <c r="K37" i="4"/>
  <c r="K38" i="4"/>
  <c r="K39" i="4"/>
  <c r="K40" i="4"/>
  <c r="K43" i="4"/>
  <c r="K44" i="4"/>
  <c r="K45" i="4"/>
  <c r="K46" i="4"/>
  <c r="K47" i="4"/>
  <c r="K48" i="4"/>
  <c r="K4" i="4"/>
  <c r="K5" i="4"/>
  <c r="K6" i="4"/>
  <c r="K7" i="4"/>
  <c r="K8" i="4"/>
  <c r="K3" i="4"/>
  <c r="BW8" i="5" l="1"/>
  <c r="BW5" i="5"/>
  <c r="BW4" i="5"/>
  <c r="BW9" i="5"/>
</calcChain>
</file>

<file path=xl/sharedStrings.xml><?xml version="1.0" encoding="utf-8"?>
<sst xmlns="http://schemas.openxmlformats.org/spreadsheetml/2006/main" count="791" uniqueCount="25">
  <si>
    <t>Domain</t>
  </si>
  <si>
    <t>Scale</t>
  </si>
  <si>
    <t>bic</t>
  </si>
  <si>
    <t>bil</t>
  </si>
  <si>
    <t>con</t>
  </si>
  <si>
    <t>con2</t>
  </si>
  <si>
    <t>dis</t>
  </si>
  <si>
    <t>laf</t>
  </si>
  <si>
    <t>nn</t>
  </si>
  <si>
    <t>s1</t>
  </si>
  <si>
    <t>s2</t>
  </si>
  <si>
    <t>s3</t>
  </si>
  <si>
    <t>s4</t>
  </si>
  <si>
    <t>s5</t>
  </si>
  <si>
    <t>MAE</t>
  </si>
  <si>
    <t>MSE</t>
  </si>
  <si>
    <t>KGE</t>
  </si>
  <si>
    <t>NSE</t>
  </si>
  <si>
    <t>Factor</t>
  </si>
  <si>
    <t>Indice</t>
  </si>
  <si>
    <t>MAE EST</t>
  </si>
  <si>
    <t>MSE EST</t>
  </si>
  <si>
    <t>Metodo seleccionado</t>
  </si>
  <si>
    <t>krig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</si>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</sst>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0.0000"/>
    <numFmt numFmtId="166" formatCode="0.000"/>
  </numFmts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EEECE1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0" fillId="0" borderId="11" xfId="0" applyNumberFormat="1" applyBorder="1"/>
    <xf numFmtId="166" fontId="0" fillId="0" borderId="12" xfId="0" applyNumberFormat="1" applyBorder="1"/>
    <xf numFmtId="166" fontId="0" fillId="0" borderId="13" xfId="0" applyNumberFormat="1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MAE!$B$1:$B$2</c:f>
              <c:strCache>
                <c:ptCount val="2"/>
                <c:pt idx="0">
                  <c:v>Domain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MAE!$B$3:$B$8</c:f>
              <c:numCache>
                <c:formatCode>General</c:formatCode>
                <c:ptCount val="6"/>
                <c:pt idx="0">
                  <c:v>0.112594914820804</c:v>
                </c:pt>
                <c:pt idx="1">
                  <c:v>0.39221099419602501</c:v>
                </c:pt>
                <c:pt idx="2">
                  <c:v>0.66023681465086503</c:v>
                </c:pt>
                <c:pt idx="3">
                  <c:v>0.83798034352338502</c:v>
                </c:pt>
                <c:pt idx="4">
                  <c:v>1.01266833953809</c:v>
                </c:pt>
                <c:pt idx="5">
                  <c:v>1.1067927323283799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39-4571-970C-B7A2514D8DA5}"/>
            </c:ext>
          </c:extLst>
        </c:ser>
        <c:ser>
          <c:idx val="1"/>
          <c:order val="1"/>
          <c:tx>
            <c:strRef>
              <c:f>MAE!$C$1:$C$2</c:f>
              <c:strCache>
                <c:ptCount val="2"/>
                <c:pt idx="0">
                  <c:v>Domain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MAE!$C$3:$C$8</c:f>
              <c:numCache>
                <c:formatCode>General</c:formatCode>
                <c:ptCount val="6"/>
                <c:pt idx="0">
                  <c:v>0.130474139457953</c:v>
                </c:pt>
                <c:pt idx="1">
                  <c:v>0.40334044768809502</c:v>
                </c:pt>
                <c:pt idx="2">
                  <c:v>0.664218466919136</c:v>
                </c:pt>
                <c:pt idx="3">
                  <c:v>0.82421331381520202</c:v>
                </c:pt>
                <c:pt idx="4">
                  <c:v>0.99360329125359004</c:v>
                </c:pt>
                <c:pt idx="5">
                  <c:v>1.11341228643054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39-4571-970C-B7A2514D8DA5}"/>
            </c:ext>
          </c:extLst>
        </c:ser>
        <c:ser>
          <c:idx val="2"/>
          <c:order val="2"/>
          <c:tx>
            <c:strRef>
              <c:f>MAE!$D$1:$D$2</c:f>
              <c:strCache>
                <c:ptCount val="2"/>
                <c:pt idx="0">
                  <c:v>Domain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MAE!$D$3:$D$8</c:f>
              <c:numCache>
                <c:formatCode>General</c:formatCode>
                <c:ptCount val="6"/>
                <c:pt idx="0">
                  <c:v>0.13575080137939299</c:v>
                </c:pt>
                <c:pt idx="1">
                  <c:v>0.55742533050908705</c:v>
                </c:pt>
                <c:pt idx="2">
                  <c:v>0.83750778739458798</c:v>
                </c:pt>
                <c:pt idx="3">
                  <c:v>1.1419026320402299</c:v>
                </c:pt>
                <c:pt idx="4">
                  <c:v>1.3606270257534201</c:v>
                </c:pt>
                <c:pt idx="5">
                  <c:v>1.5315667485398301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39-4571-970C-B7A2514D8DA5}"/>
            </c:ext>
          </c:extLst>
        </c:ser>
        <c:ser>
          <c:idx val="3"/>
          <c:order val="3"/>
          <c:tx>
            <c:strRef>
              <c:f>MAE!$E$1:$E$2</c:f>
              <c:strCache>
                <c:ptCount val="2"/>
                <c:pt idx="0">
                  <c:v>Domain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MAE!$E$3:$E$8</c:f>
              <c:numCache>
                <c:formatCode>General</c:formatCode>
                <c:ptCount val="6"/>
                <c:pt idx="0">
                  <c:v>0.13575089287724901</c:v>
                </c:pt>
                <c:pt idx="1">
                  <c:v>0.62253766606258298</c:v>
                </c:pt>
                <c:pt idx="2">
                  <c:v>0.83766747466207603</c:v>
                </c:pt>
                <c:pt idx="3">
                  <c:v>1.1452708370037801</c:v>
                </c:pt>
                <c:pt idx="4">
                  <c:v>1.36038238335218</c:v>
                </c:pt>
                <c:pt idx="5">
                  <c:v>1.5343621442354001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39-4571-970C-B7A2514D8DA5}"/>
            </c:ext>
          </c:extLst>
        </c:ser>
        <c:ser>
          <c:idx val="4"/>
          <c:order val="4"/>
          <c:tx>
            <c:strRef>
              <c:f>MAE!$F$1:$F$2</c:f>
              <c:strCache>
                <c:ptCount val="2"/>
                <c:pt idx="0">
                  <c:v>Domain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MAE!$F$3:$F$8</c:f>
              <c:numCache>
                <c:formatCode>General</c:formatCode>
                <c:ptCount val="6"/>
                <c:pt idx="0">
                  <c:v>0.174731950124145</c:v>
                </c:pt>
                <c:pt idx="1">
                  <c:v>0.460541000334317</c:v>
                </c:pt>
                <c:pt idx="2">
                  <c:v>0.76760225046642405</c:v>
                </c:pt>
                <c:pt idx="3">
                  <c:v>1.0417999782221701</c:v>
                </c:pt>
                <c:pt idx="4">
                  <c:v>1.24141414134719</c:v>
                </c:pt>
                <c:pt idx="5">
                  <c:v>1.4039017421394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39-4571-970C-B7A2514D8DA5}"/>
            </c:ext>
          </c:extLst>
        </c:ser>
        <c:ser>
          <c:idx val="5"/>
          <c:order val="5"/>
          <c:tx>
            <c:strRef>
              <c:f>MAE!$G$1:$G$2</c:f>
              <c:strCache>
                <c:ptCount val="2"/>
                <c:pt idx="0">
                  <c:v>Domain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MAE!$G$3:$G$8</c:f>
              <c:numCache>
                <c:formatCode>General</c:formatCode>
                <c:ptCount val="6"/>
                <c:pt idx="0">
                  <c:v>0.287207205808721</c:v>
                </c:pt>
                <c:pt idx="1">
                  <c:v>0.55742533050908705</c:v>
                </c:pt>
                <c:pt idx="2">
                  <c:v>0.89767001584731698</c:v>
                </c:pt>
                <c:pt idx="3">
                  <c:v>1.1419026320402299</c:v>
                </c:pt>
                <c:pt idx="4">
                  <c:v>1.3945875730050401</c:v>
                </c:pt>
                <c:pt idx="5">
                  <c:v>1.5315667485398301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39-4571-970C-B7A2514D8DA5}"/>
            </c:ext>
          </c:extLst>
        </c:ser>
        <c:ser>
          <c:idx val="6"/>
          <c:order val="6"/>
          <c:tx>
            <c:strRef>
              <c:f>MAE!$H$1:$H$2</c:f>
              <c:strCache>
                <c:ptCount val="2"/>
                <c:pt idx="0">
                  <c:v>Domain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MAE!$H$3:$H$8</c:f>
              <c:numCache>
                <c:formatCode>General</c:formatCode>
                <c:ptCount val="6"/>
                <c:pt idx="0">
                  <c:v>0.28721713159859202</c:v>
                </c:pt>
                <c:pt idx="1">
                  <c:v>0.55742533050908705</c:v>
                </c:pt>
                <c:pt idx="2">
                  <c:v>0.89535276735389002</c:v>
                </c:pt>
                <c:pt idx="3">
                  <c:v>1.1419026320402299</c:v>
                </c:pt>
                <c:pt idx="4">
                  <c:v>1.3922973492888999</c:v>
                </c:pt>
                <c:pt idx="5">
                  <c:v>1.5315667485398301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39-4571-970C-B7A2514D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MAE!$B$18:$B$19</c:f>
              <c:strCache>
                <c:ptCount val="2"/>
                <c:pt idx="0">
                  <c:v>s1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MAE!$B$20:$B$25</c:f>
              <c:numCache>
                <c:formatCode>General</c:formatCode>
                <c:ptCount val="6"/>
                <c:pt idx="0">
                  <c:v>7.8745438587267097E-2</c:v>
                </c:pt>
                <c:pt idx="1">
                  <c:v>0.26392772432419798</c:v>
                </c:pt>
                <c:pt idx="2">
                  <c:v>0.455437985453644</c:v>
                </c:pt>
                <c:pt idx="3">
                  <c:v>0.57535119498314302</c:v>
                </c:pt>
                <c:pt idx="4">
                  <c:v>0.73533886647771196</c:v>
                </c:pt>
                <c:pt idx="5">
                  <c:v>0.76822495882729203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D-4C69-AECD-97B5447BEA8B}"/>
            </c:ext>
          </c:extLst>
        </c:ser>
        <c:ser>
          <c:idx val="1"/>
          <c:order val="1"/>
          <c:tx>
            <c:strRef>
              <c:f>MAE!$C$18:$C$19</c:f>
              <c:strCache>
                <c:ptCount val="2"/>
                <c:pt idx="0">
                  <c:v>s1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MAE!$C$20:$C$25</c:f>
              <c:numCache>
                <c:formatCode>General</c:formatCode>
                <c:ptCount val="6"/>
                <c:pt idx="0">
                  <c:v>8.9674986912790605E-2</c:v>
                </c:pt>
                <c:pt idx="1">
                  <c:v>0.27363700003470398</c:v>
                </c:pt>
                <c:pt idx="2">
                  <c:v>0.45643788251746398</c:v>
                </c:pt>
                <c:pt idx="3">
                  <c:v>0.565628413145431</c:v>
                </c:pt>
                <c:pt idx="4">
                  <c:v>0.716695831578681</c:v>
                </c:pt>
                <c:pt idx="5">
                  <c:v>0.758634551782146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4D-4C69-AECD-97B5447BEA8B}"/>
            </c:ext>
          </c:extLst>
        </c:ser>
        <c:ser>
          <c:idx val="2"/>
          <c:order val="2"/>
          <c:tx>
            <c:strRef>
              <c:f>MAE!$D$18:$D$19</c:f>
              <c:strCache>
                <c:ptCount val="2"/>
                <c:pt idx="0">
                  <c:v>s1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MAE!$D$20:$D$25</c:f>
              <c:numCache>
                <c:formatCode>General</c:formatCode>
                <c:ptCount val="6"/>
                <c:pt idx="0">
                  <c:v>9.2020246237969006E-2</c:v>
                </c:pt>
                <c:pt idx="1">
                  <c:v>0.37177776378828697</c:v>
                </c:pt>
                <c:pt idx="2">
                  <c:v>0.56222570799696003</c:v>
                </c:pt>
                <c:pt idx="3">
                  <c:v>0.76375288082640602</c:v>
                </c:pt>
                <c:pt idx="4">
                  <c:v>0.901767264166774</c:v>
                </c:pt>
                <c:pt idx="5">
                  <c:v>0.99108017378023205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4D-4C69-AECD-97B5447BEA8B}"/>
            </c:ext>
          </c:extLst>
        </c:ser>
        <c:ser>
          <c:idx val="3"/>
          <c:order val="3"/>
          <c:tx>
            <c:strRef>
              <c:f>MAE!$E$18:$E$19</c:f>
              <c:strCache>
                <c:ptCount val="2"/>
                <c:pt idx="0">
                  <c:v>s1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MAE!$E$20:$E$25</c:f>
              <c:numCache>
                <c:formatCode>General</c:formatCode>
                <c:ptCount val="6"/>
                <c:pt idx="0">
                  <c:v>9.2024605269103901E-2</c:v>
                </c:pt>
                <c:pt idx="1">
                  <c:v>0.39496938301229001</c:v>
                </c:pt>
                <c:pt idx="2">
                  <c:v>0.56244482154171405</c:v>
                </c:pt>
                <c:pt idx="3">
                  <c:v>0.76369353818581598</c:v>
                </c:pt>
                <c:pt idx="4">
                  <c:v>0.90153862024662901</c:v>
                </c:pt>
                <c:pt idx="5">
                  <c:v>0.99048776863107502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4D-4C69-AECD-97B5447BEA8B}"/>
            </c:ext>
          </c:extLst>
        </c:ser>
        <c:ser>
          <c:idx val="4"/>
          <c:order val="4"/>
          <c:tx>
            <c:strRef>
              <c:f>MAE!$F$18:$F$19</c:f>
              <c:strCache>
                <c:ptCount val="2"/>
                <c:pt idx="0">
                  <c:v>s1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MAE!$F$20:$F$25</c:f>
              <c:numCache>
                <c:formatCode>General</c:formatCode>
                <c:ptCount val="6"/>
                <c:pt idx="0">
                  <c:v>0.11883096136574001</c:v>
                </c:pt>
                <c:pt idx="1">
                  <c:v>0.30851043014718499</c:v>
                </c:pt>
                <c:pt idx="2">
                  <c:v>0.50967447988000003</c:v>
                </c:pt>
                <c:pt idx="3">
                  <c:v>0.657557970222997</c:v>
                </c:pt>
                <c:pt idx="4">
                  <c:v>0.82032173205568204</c:v>
                </c:pt>
                <c:pt idx="5">
                  <c:v>0.89762502094473795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4D-4C69-AECD-97B5447BEA8B}"/>
            </c:ext>
          </c:extLst>
        </c:ser>
        <c:ser>
          <c:idx val="5"/>
          <c:order val="5"/>
          <c:tx>
            <c:strRef>
              <c:f>MAE!$G$18:$G$19</c:f>
              <c:strCache>
                <c:ptCount val="2"/>
                <c:pt idx="0">
                  <c:v>s1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MAE!$G$20:$G$25</c:f>
              <c:numCache>
                <c:formatCode>General</c:formatCode>
                <c:ptCount val="6"/>
                <c:pt idx="0">
                  <c:v>0.190389934893126</c:v>
                </c:pt>
                <c:pt idx="1">
                  <c:v>0.37177776378828697</c:v>
                </c:pt>
                <c:pt idx="2">
                  <c:v>0.60023954821678005</c:v>
                </c:pt>
                <c:pt idx="3">
                  <c:v>0.76375288082640602</c:v>
                </c:pt>
                <c:pt idx="4">
                  <c:v>0.92077420828113998</c:v>
                </c:pt>
                <c:pt idx="5">
                  <c:v>0.99108017378023205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4D-4C69-AECD-97B5447BEA8B}"/>
            </c:ext>
          </c:extLst>
        </c:ser>
        <c:ser>
          <c:idx val="6"/>
          <c:order val="6"/>
          <c:tx>
            <c:strRef>
              <c:f>MAE!$H$18:$H$19</c:f>
              <c:strCache>
                <c:ptCount val="2"/>
                <c:pt idx="0">
                  <c:v>s1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MAE!$A$20:$A$25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MAE!$H$20:$H$25</c:f>
              <c:numCache>
                <c:formatCode>General</c:formatCode>
                <c:ptCount val="6"/>
                <c:pt idx="0">
                  <c:v>0.19675412705906201</c:v>
                </c:pt>
                <c:pt idx="1">
                  <c:v>0.37177776378828697</c:v>
                </c:pt>
                <c:pt idx="2">
                  <c:v>0.60347257191936698</c:v>
                </c:pt>
                <c:pt idx="3">
                  <c:v>0.76375288082640602</c:v>
                </c:pt>
                <c:pt idx="4">
                  <c:v>0.93033526756280505</c:v>
                </c:pt>
                <c:pt idx="5">
                  <c:v>0.99108017378023205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4D-4C69-AECD-97B5447B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MAE!$B$36:$B$37</c:f>
              <c:strCache>
                <c:ptCount val="2"/>
                <c:pt idx="0">
                  <c:v>s2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MAE!$B$38:$B$43</c:f>
              <c:numCache>
                <c:formatCode>General</c:formatCode>
                <c:ptCount val="6"/>
                <c:pt idx="0">
                  <c:v>0.18550745814615699</c:v>
                </c:pt>
                <c:pt idx="1">
                  <c:v>0.67215936991157299</c:v>
                </c:pt>
                <c:pt idx="2">
                  <c:v>1.14016377525553</c:v>
                </c:pt>
                <c:pt idx="3">
                  <c:v>1.4069466023417601</c:v>
                </c:pt>
                <c:pt idx="4">
                  <c:v>1.8527183604403601</c:v>
                </c:pt>
                <c:pt idx="5">
                  <c:v>2.1144908211620801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AF-4E5E-83C0-BDD39E55A9C6}"/>
            </c:ext>
          </c:extLst>
        </c:ser>
        <c:ser>
          <c:idx val="1"/>
          <c:order val="1"/>
          <c:tx>
            <c:strRef>
              <c:f>MAE!$C$36:$C$37</c:f>
              <c:strCache>
                <c:ptCount val="2"/>
                <c:pt idx="0">
                  <c:v>s2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MAE!$C$38:$C$43</c:f>
              <c:numCache>
                <c:formatCode>General</c:formatCode>
                <c:ptCount val="6"/>
                <c:pt idx="0">
                  <c:v>0.21806212664720401</c:v>
                </c:pt>
                <c:pt idx="1">
                  <c:v>0.68383707042967001</c:v>
                </c:pt>
                <c:pt idx="2">
                  <c:v>1.16075406149174</c:v>
                </c:pt>
                <c:pt idx="3">
                  <c:v>1.37245869187429</c:v>
                </c:pt>
                <c:pt idx="4">
                  <c:v>1.8455742006899301</c:v>
                </c:pt>
                <c:pt idx="5">
                  <c:v>2.2013919826882899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AF-4E5E-83C0-BDD39E55A9C6}"/>
            </c:ext>
          </c:extLst>
        </c:ser>
        <c:ser>
          <c:idx val="2"/>
          <c:order val="2"/>
          <c:tx>
            <c:strRef>
              <c:f>MAE!$D$36:$D$37</c:f>
              <c:strCache>
                <c:ptCount val="2"/>
                <c:pt idx="0">
                  <c:v>s2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MAE!$D$38:$D$43</c:f>
              <c:numCache>
                <c:formatCode>General</c:formatCode>
                <c:ptCount val="6"/>
                <c:pt idx="0">
                  <c:v>0.218391941839125</c:v>
                </c:pt>
                <c:pt idx="1">
                  <c:v>0.93589996203316395</c:v>
                </c:pt>
                <c:pt idx="2">
                  <c:v>1.4011220871271299</c:v>
                </c:pt>
                <c:pt idx="3">
                  <c:v>1.9259180230327699</c:v>
                </c:pt>
                <c:pt idx="4">
                  <c:v>2.3093968895165902</c:v>
                </c:pt>
                <c:pt idx="5">
                  <c:v>2.6613349463498199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AF-4E5E-83C0-BDD39E55A9C6}"/>
            </c:ext>
          </c:extLst>
        </c:ser>
        <c:ser>
          <c:idx val="3"/>
          <c:order val="3"/>
          <c:tx>
            <c:strRef>
              <c:f>MAE!$E$36:$E$37</c:f>
              <c:strCache>
                <c:ptCount val="2"/>
                <c:pt idx="0">
                  <c:v>s2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MAE!$E$38:$E$43</c:f>
              <c:numCache>
                <c:formatCode>General</c:formatCode>
                <c:ptCount val="6"/>
                <c:pt idx="0">
                  <c:v>0.21839293226561601</c:v>
                </c:pt>
                <c:pt idx="1">
                  <c:v>0.95805629934102299</c:v>
                </c:pt>
                <c:pt idx="2">
                  <c:v>1.40051116099262</c:v>
                </c:pt>
                <c:pt idx="3">
                  <c:v>1.9359128856371099</c:v>
                </c:pt>
                <c:pt idx="4">
                  <c:v>2.3087186658186001</c:v>
                </c:pt>
                <c:pt idx="5">
                  <c:v>2.6749886452496598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AF-4E5E-83C0-BDD39E55A9C6}"/>
            </c:ext>
          </c:extLst>
        </c:ser>
        <c:ser>
          <c:idx val="4"/>
          <c:order val="4"/>
          <c:tx>
            <c:strRef>
              <c:f>MAE!$F$36:$F$37</c:f>
              <c:strCache>
                <c:ptCount val="2"/>
                <c:pt idx="0">
                  <c:v>s2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MAE!$F$38:$F$43</c:f>
              <c:numCache>
                <c:formatCode>General</c:formatCode>
                <c:ptCount val="6"/>
                <c:pt idx="0">
                  <c:v>0.276330849381834</c:v>
                </c:pt>
                <c:pt idx="1">
                  <c:v>0.74561945169142696</c:v>
                </c:pt>
                <c:pt idx="2">
                  <c:v>1.2772876218770099</c:v>
                </c:pt>
                <c:pt idx="3">
                  <c:v>1.79598732462327</c:v>
                </c:pt>
                <c:pt idx="4">
                  <c:v>2.1319324406311901</c:v>
                </c:pt>
                <c:pt idx="5">
                  <c:v>2.53844252340396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AF-4E5E-83C0-BDD39E55A9C6}"/>
            </c:ext>
          </c:extLst>
        </c:ser>
        <c:ser>
          <c:idx val="5"/>
          <c:order val="5"/>
          <c:tx>
            <c:strRef>
              <c:f>MAE!$G$36:$G$37</c:f>
              <c:strCache>
                <c:ptCount val="2"/>
                <c:pt idx="0">
                  <c:v>s2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MAE!$G$38:$G$43</c:f>
              <c:numCache>
                <c:formatCode>General</c:formatCode>
                <c:ptCount val="6"/>
                <c:pt idx="0">
                  <c:v>0.47977384506028797</c:v>
                </c:pt>
                <c:pt idx="1">
                  <c:v>0.93589996203316395</c:v>
                </c:pt>
                <c:pt idx="2">
                  <c:v>1.5015401035134199</c:v>
                </c:pt>
                <c:pt idx="3">
                  <c:v>1.9259180230327699</c:v>
                </c:pt>
                <c:pt idx="4">
                  <c:v>2.36512353273719</c:v>
                </c:pt>
                <c:pt idx="5">
                  <c:v>2.6613349463498199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AF-4E5E-83C0-BDD39E55A9C6}"/>
            </c:ext>
          </c:extLst>
        </c:ser>
        <c:ser>
          <c:idx val="6"/>
          <c:order val="6"/>
          <c:tx>
            <c:strRef>
              <c:f>MAE!$H$36:$H$37</c:f>
              <c:strCache>
                <c:ptCount val="2"/>
                <c:pt idx="0">
                  <c:v>s2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MAE!$A$38:$A$43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MAE!$H$38:$H$43</c:f>
              <c:numCache>
                <c:formatCode>General</c:formatCode>
                <c:ptCount val="6"/>
                <c:pt idx="0">
                  <c:v>0.47492003385265402</c:v>
                </c:pt>
                <c:pt idx="1">
                  <c:v>0.93589996203316395</c:v>
                </c:pt>
                <c:pt idx="2">
                  <c:v>1.5131083129840699</c:v>
                </c:pt>
                <c:pt idx="3">
                  <c:v>1.9259180230327699</c:v>
                </c:pt>
                <c:pt idx="4">
                  <c:v>2.3583160626768702</c:v>
                </c:pt>
                <c:pt idx="5">
                  <c:v>2.6613349463498199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AF-4E5E-83C0-BDD39E55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MAE!$B$54:$B$55</c:f>
              <c:strCache>
                <c:ptCount val="2"/>
                <c:pt idx="0">
                  <c:v>s3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MAE!$B$56:$B$61</c:f>
              <c:numCache>
                <c:formatCode>General</c:formatCode>
                <c:ptCount val="6"/>
                <c:pt idx="0">
                  <c:v>0.145533092475787</c:v>
                </c:pt>
                <c:pt idx="1">
                  <c:v>0.52592094292157399</c:v>
                </c:pt>
                <c:pt idx="2">
                  <c:v>0.90221583865626198</c:v>
                </c:pt>
                <c:pt idx="3">
                  <c:v>1.1690341269748701</c:v>
                </c:pt>
                <c:pt idx="4">
                  <c:v>1.31699219904047</c:v>
                </c:pt>
                <c:pt idx="5">
                  <c:v>1.3354289030434701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94-46AB-8228-619E06A51885}"/>
            </c:ext>
          </c:extLst>
        </c:ser>
        <c:ser>
          <c:idx val="1"/>
          <c:order val="1"/>
          <c:tx>
            <c:strRef>
              <c:f>MAE!$C$54:$C$55</c:f>
              <c:strCache>
                <c:ptCount val="2"/>
                <c:pt idx="0">
                  <c:v>s3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MAE!$C$56:$C$61</c:f>
              <c:numCache>
                <c:formatCode>General</c:formatCode>
                <c:ptCount val="6"/>
                <c:pt idx="0">
                  <c:v>0.17088008341088601</c:v>
                </c:pt>
                <c:pt idx="1">
                  <c:v>0.541202028785848</c:v>
                </c:pt>
                <c:pt idx="2">
                  <c:v>0.892038556727756</c:v>
                </c:pt>
                <c:pt idx="3">
                  <c:v>1.1223212937386</c:v>
                </c:pt>
                <c:pt idx="4">
                  <c:v>1.27064557239513</c:v>
                </c:pt>
                <c:pt idx="5">
                  <c:v>1.34709824867724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94-46AB-8228-619E06A51885}"/>
            </c:ext>
          </c:extLst>
        </c:ser>
        <c:ser>
          <c:idx val="2"/>
          <c:order val="2"/>
          <c:tx>
            <c:strRef>
              <c:f>MAE!$D$54:$D$55</c:f>
              <c:strCache>
                <c:ptCount val="2"/>
                <c:pt idx="0">
                  <c:v>s3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MAE!$D$56:$D$61</c:f>
              <c:numCache>
                <c:formatCode>General</c:formatCode>
                <c:ptCount val="6"/>
                <c:pt idx="0">
                  <c:v>0.172186501782325</c:v>
                </c:pt>
                <c:pt idx="1">
                  <c:v>0.757550179199729</c:v>
                </c:pt>
                <c:pt idx="2">
                  <c:v>1.1385147825616799</c:v>
                </c:pt>
                <c:pt idx="3">
                  <c:v>1.5698436364443999</c:v>
                </c:pt>
                <c:pt idx="4">
                  <c:v>1.76764271886569</c:v>
                </c:pt>
                <c:pt idx="5">
                  <c:v>2.1653495549858102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94-46AB-8228-619E06A51885}"/>
            </c:ext>
          </c:extLst>
        </c:ser>
        <c:ser>
          <c:idx val="3"/>
          <c:order val="3"/>
          <c:tx>
            <c:strRef>
              <c:f>MAE!$E$54:$E$55</c:f>
              <c:strCache>
                <c:ptCount val="2"/>
                <c:pt idx="0">
                  <c:v>s3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MAE!$E$56:$E$61</c:f>
              <c:numCache>
                <c:formatCode>General</c:formatCode>
                <c:ptCount val="6"/>
                <c:pt idx="0">
                  <c:v>0.172185646800149</c:v>
                </c:pt>
                <c:pt idx="1">
                  <c:v>0.75777470153638704</c:v>
                </c:pt>
                <c:pt idx="2">
                  <c:v>1.13919140797568</c:v>
                </c:pt>
                <c:pt idx="3">
                  <c:v>1.5713814094698</c:v>
                </c:pt>
                <c:pt idx="4">
                  <c:v>1.7678501389030501</c:v>
                </c:pt>
                <c:pt idx="5">
                  <c:v>2.1635410000692801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94-46AB-8228-619E06A51885}"/>
            </c:ext>
          </c:extLst>
        </c:ser>
        <c:ser>
          <c:idx val="4"/>
          <c:order val="4"/>
          <c:tx>
            <c:strRef>
              <c:f>MAE!$F$54:$F$55</c:f>
              <c:strCache>
                <c:ptCount val="2"/>
                <c:pt idx="0">
                  <c:v>s3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MAE!$F$56:$F$61</c:f>
              <c:numCache>
                <c:formatCode>General</c:formatCode>
                <c:ptCount val="6"/>
                <c:pt idx="0">
                  <c:v>0.22711743679649701</c:v>
                </c:pt>
                <c:pt idx="1">
                  <c:v>0.59475568208246699</c:v>
                </c:pt>
                <c:pt idx="2">
                  <c:v>0.955335240107824</c:v>
                </c:pt>
                <c:pt idx="3">
                  <c:v>1.2956933972106901</c:v>
                </c:pt>
                <c:pt idx="4">
                  <c:v>1.4092042678268999</c:v>
                </c:pt>
                <c:pt idx="5">
                  <c:v>1.7209340202127701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94-46AB-8228-619E06A51885}"/>
            </c:ext>
          </c:extLst>
        </c:ser>
        <c:ser>
          <c:idx val="5"/>
          <c:order val="5"/>
          <c:tx>
            <c:strRef>
              <c:f>MAE!$G$54:$G$55</c:f>
              <c:strCache>
                <c:ptCount val="2"/>
                <c:pt idx="0">
                  <c:v>s3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MAE!$G$56:$G$61</c:f>
              <c:numCache>
                <c:formatCode>General</c:formatCode>
                <c:ptCount val="6"/>
                <c:pt idx="0">
                  <c:v>0.38734929479962099</c:v>
                </c:pt>
                <c:pt idx="1">
                  <c:v>0.757550179199729</c:v>
                </c:pt>
                <c:pt idx="2">
                  <c:v>1.2311954866846899</c:v>
                </c:pt>
                <c:pt idx="3">
                  <c:v>1.5698436364443999</c:v>
                </c:pt>
                <c:pt idx="4">
                  <c:v>1.8264689383936299</c:v>
                </c:pt>
                <c:pt idx="5">
                  <c:v>2.1653495549858102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94-46AB-8228-619E06A51885}"/>
            </c:ext>
          </c:extLst>
        </c:ser>
        <c:ser>
          <c:idx val="6"/>
          <c:order val="6"/>
          <c:tx>
            <c:strRef>
              <c:f>MAE!$H$54:$H$55</c:f>
              <c:strCache>
                <c:ptCount val="2"/>
                <c:pt idx="0">
                  <c:v>s3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MAE!$A$56:$A$61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MAE!$H$56:$H$61</c:f>
              <c:numCache>
                <c:formatCode>General</c:formatCode>
                <c:ptCount val="6"/>
                <c:pt idx="0">
                  <c:v>0.40001066427899201</c:v>
                </c:pt>
                <c:pt idx="1">
                  <c:v>0.757550179199729</c:v>
                </c:pt>
                <c:pt idx="2">
                  <c:v>1.22933907356587</c:v>
                </c:pt>
                <c:pt idx="3">
                  <c:v>1.5698436364443999</c:v>
                </c:pt>
                <c:pt idx="4">
                  <c:v>1.8299070472940799</c:v>
                </c:pt>
                <c:pt idx="5">
                  <c:v>2.1653495549858102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94-46AB-8228-619E06A51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MAE!$B$72:$B$73</c:f>
              <c:strCache>
                <c:ptCount val="2"/>
                <c:pt idx="0">
                  <c:v>s4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MAE!$B$74:$B$79</c:f>
              <c:numCache>
                <c:formatCode>General</c:formatCode>
                <c:ptCount val="6"/>
                <c:pt idx="0">
                  <c:v>0.29615591516436901</c:v>
                </c:pt>
                <c:pt idx="1">
                  <c:v>1.092685252386</c:v>
                </c:pt>
                <c:pt idx="2">
                  <c:v>1.6901263181336199</c:v>
                </c:pt>
                <c:pt idx="3">
                  <c:v>2.0854527077114402</c:v>
                </c:pt>
                <c:pt idx="4">
                  <c:v>2.6708153067729099</c:v>
                </c:pt>
                <c:pt idx="5">
                  <c:v>2.8397719429735302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D7-41F1-9CCA-DE0A91C8A8F3}"/>
            </c:ext>
          </c:extLst>
        </c:ser>
        <c:ser>
          <c:idx val="1"/>
          <c:order val="1"/>
          <c:tx>
            <c:strRef>
              <c:f>MAE!$C$72:$C$73</c:f>
              <c:strCache>
                <c:ptCount val="2"/>
                <c:pt idx="0">
                  <c:v>s4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MAE!$C$74:$C$79</c:f>
              <c:numCache>
                <c:formatCode>General</c:formatCode>
                <c:ptCount val="6"/>
                <c:pt idx="0">
                  <c:v>0.34327830434782602</c:v>
                </c:pt>
                <c:pt idx="1">
                  <c:v>1.0415240296924699</c:v>
                </c:pt>
                <c:pt idx="2">
                  <c:v>1.63562344962884</c:v>
                </c:pt>
                <c:pt idx="3">
                  <c:v>2.1893838669154202</c:v>
                </c:pt>
                <c:pt idx="4">
                  <c:v>2.7434718027888501</c:v>
                </c:pt>
                <c:pt idx="5">
                  <c:v>2.8206512057026498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D7-41F1-9CCA-DE0A91C8A8F3}"/>
            </c:ext>
          </c:extLst>
        </c:ser>
        <c:ser>
          <c:idx val="2"/>
          <c:order val="2"/>
          <c:tx>
            <c:strRef>
              <c:f>MAE!$D$72:$D$73</c:f>
              <c:strCache>
                <c:ptCount val="2"/>
                <c:pt idx="0">
                  <c:v>s4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MAE!$D$74:$D$79</c:f>
              <c:numCache>
                <c:formatCode>General</c:formatCode>
                <c:ptCount val="6"/>
                <c:pt idx="0">
                  <c:v>0.34960134529148001</c:v>
                </c:pt>
                <c:pt idx="1">
                  <c:v>1.4889030235426</c:v>
                </c:pt>
                <c:pt idx="2">
                  <c:v>2.2422100100896798</c:v>
                </c:pt>
                <c:pt idx="3">
                  <c:v>3.0775260650224201</c:v>
                </c:pt>
                <c:pt idx="4">
                  <c:v>3.22863719708847</c:v>
                </c:pt>
                <c:pt idx="5">
                  <c:v>4.8066796741321296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D7-41F1-9CCA-DE0A91C8A8F3}"/>
            </c:ext>
          </c:extLst>
        </c:ser>
        <c:ser>
          <c:idx val="3"/>
          <c:order val="3"/>
          <c:tx>
            <c:strRef>
              <c:f>MAE!$E$72:$E$73</c:f>
              <c:strCache>
                <c:ptCount val="2"/>
                <c:pt idx="0">
                  <c:v>s4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MAE!$E$74:$E$79</c:f>
              <c:numCache>
                <c:formatCode>General</c:formatCode>
                <c:ptCount val="6"/>
                <c:pt idx="0">
                  <c:v>0.34948910538116601</c:v>
                </c:pt>
                <c:pt idx="1">
                  <c:v>1.48994087443946</c:v>
                </c:pt>
                <c:pt idx="2">
                  <c:v>2.2441606771300502</c:v>
                </c:pt>
                <c:pt idx="3">
                  <c:v>3.0908152701793701</c:v>
                </c:pt>
                <c:pt idx="4">
                  <c:v>3.2406959473684198</c:v>
                </c:pt>
                <c:pt idx="5">
                  <c:v>4.8533745632698801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D7-41F1-9CCA-DE0A91C8A8F3}"/>
            </c:ext>
          </c:extLst>
        </c:ser>
        <c:ser>
          <c:idx val="4"/>
          <c:order val="4"/>
          <c:tx>
            <c:strRef>
              <c:f>MAE!$F$72:$F$73</c:f>
              <c:strCache>
                <c:ptCount val="2"/>
                <c:pt idx="0">
                  <c:v>s4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MAE!$F$74:$F$79</c:f>
              <c:numCache>
                <c:formatCode>General</c:formatCode>
                <c:ptCount val="6"/>
                <c:pt idx="0">
                  <c:v>0.439339306053812</c:v>
                </c:pt>
                <c:pt idx="1">
                  <c:v>1.1347456069428901</c:v>
                </c:pt>
                <c:pt idx="2">
                  <c:v>1.70038555095185</c:v>
                </c:pt>
                <c:pt idx="3">
                  <c:v>2.5870682497200401</c:v>
                </c:pt>
                <c:pt idx="4">
                  <c:v>3.5024568924972002</c:v>
                </c:pt>
                <c:pt idx="5">
                  <c:v>3.5091075285554298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D7-41F1-9CCA-DE0A91C8A8F3}"/>
            </c:ext>
          </c:extLst>
        </c:ser>
        <c:ser>
          <c:idx val="5"/>
          <c:order val="5"/>
          <c:tx>
            <c:strRef>
              <c:f>MAE!$G$72:$G$73</c:f>
              <c:strCache>
                <c:ptCount val="2"/>
                <c:pt idx="0">
                  <c:v>s4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MAE!$G$74:$G$79</c:f>
              <c:numCache>
                <c:formatCode>General</c:formatCode>
                <c:ptCount val="6"/>
                <c:pt idx="0">
                  <c:v>0.79039692825111996</c:v>
                </c:pt>
                <c:pt idx="1">
                  <c:v>1.4889030235426</c:v>
                </c:pt>
                <c:pt idx="2">
                  <c:v>2.4841791928251098</c:v>
                </c:pt>
                <c:pt idx="3">
                  <c:v>3.0775260650224201</c:v>
                </c:pt>
                <c:pt idx="4">
                  <c:v>3.2935967110862299</c:v>
                </c:pt>
                <c:pt idx="5">
                  <c:v>4.8066796741321296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D7-41F1-9CCA-DE0A91C8A8F3}"/>
            </c:ext>
          </c:extLst>
        </c:ser>
        <c:ser>
          <c:idx val="6"/>
          <c:order val="6"/>
          <c:tx>
            <c:strRef>
              <c:f>MAE!$H$72:$H$73</c:f>
              <c:strCache>
                <c:ptCount val="2"/>
                <c:pt idx="0">
                  <c:v>s4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MAE!$A$74:$A$79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MAE!$H$74:$H$79</c:f>
              <c:numCache>
                <c:formatCode>General</c:formatCode>
                <c:ptCount val="6"/>
                <c:pt idx="0">
                  <c:v>0.80394234753363103</c:v>
                </c:pt>
                <c:pt idx="1">
                  <c:v>1.4889030235426</c:v>
                </c:pt>
                <c:pt idx="2">
                  <c:v>2.4120350762331801</c:v>
                </c:pt>
                <c:pt idx="3">
                  <c:v>3.0775260650224201</c:v>
                </c:pt>
                <c:pt idx="4">
                  <c:v>3.1951369843225099</c:v>
                </c:pt>
                <c:pt idx="5">
                  <c:v>4.8066796741321296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D7-41F1-9CCA-DE0A91C8A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MAE!$B$91:$B$92</c:f>
              <c:strCache>
                <c:ptCount val="2"/>
                <c:pt idx="0">
                  <c:v>s5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MAE!$B$93:$B$98</c:f>
              <c:numCache>
                <c:formatCode>General</c:formatCode>
                <c:ptCount val="6"/>
                <c:pt idx="0">
                  <c:v>0.39068360942553498</c:v>
                </c:pt>
                <c:pt idx="1">
                  <c:v>1.44614555300952</c:v>
                </c:pt>
                <c:pt idx="2">
                  <c:v>2.2043747533870701</c:v>
                </c:pt>
                <c:pt idx="3">
                  <c:v>2.8905673493217998</c:v>
                </c:pt>
                <c:pt idx="4">
                  <c:v>3.7228109739336399</c:v>
                </c:pt>
                <c:pt idx="5">
                  <c:v>3.3379729158020699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04-4009-AC10-EF79372E17B1}"/>
            </c:ext>
          </c:extLst>
        </c:ser>
        <c:ser>
          <c:idx val="1"/>
          <c:order val="1"/>
          <c:tx>
            <c:strRef>
              <c:f>MAE!$C$91:$C$92</c:f>
              <c:strCache>
                <c:ptCount val="2"/>
                <c:pt idx="0">
                  <c:v>s5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MAE!$C$93:$C$98</c:f>
              <c:numCache>
                <c:formatCode>General</c:formatCode>
                <c:ptCount val="6"/>
                <c:pt idx="0">
                  <c:v>0.46155813291236902</c:v>
                </c:pt>
                <c:pt idx="1">
                  <c:v>1.4719527032435</c:v>
                </c:pt>
                <c:pt idx="2">
                  <c:v>2.2881606508317698</c:v>
                </c:pt>
                <c:pt idx="3">
                  <c:v>2.9801889905641801</c:v>
                </c:pt>
                <c:pt idx="4">
                  <c:v>3.72747495497631</c:v>
                </c:pt>
                <c:pt idx="5">
                  <c:v>3.5609562182761398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04-4009-AC10-EF79372E17B1}"/>
            </c:ext>
          </c:extLst>
        </c:ser>
        <c:ser>
          <c:idx val="2"/>
          <c:order val="2"/>
          <c:tx>
            <c:strRef>
              <c:f>MAE!$D$91:$D$92</c:f>
              <c:strCache>
                <c:ptCount val="2"/>
                <c:pt idx="0">
                  <c:v>s5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MAE!$D$93:$D$98</c:f>
              <c:numCache>
                <c:formatCode>General</c:formatCode>
                <c:ptCount val="6"/>
                <c:pt idx="0">
                  <c:v>0.45251513444005897</c:v>
                </c:pt>
                <c:pt idx="1">
                  <c:v>1.7949832327784201</c:v>
                </c:pt>
                <c:pt idx="2">
                  <c:v>2.5166408828789102</c:v>
                </c:pt>
                <c:pt idx="3">
                  <c:v>3.3652386869552702</c:v>
                </c:pt>
                <c:pt idx="4">
                  <c:v>4.4502171080958099</c:v>
                </c:pt>
                <c:pt idx="5">
                  <c:v>3.9263036366131998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04-4009-AC10-EF79372E17B1}"/>
            </c:ext>
          </c:extLst>
        </c:ser>
        <c:ser>
          <c:idx val="3"/>
          <c:order val="3"/>
          <c:tx>
            <c:strRef>
              <c:f>MAE!$E$91:$E$92</c:f>
              <c:strCache>
                <c:ptCount val="2"/>
                <c:pt idx="0">
                  <c:v>s5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MAE!$E$93:$E$98</c:f>
              <c:numCache>
                <c:formatCode>General</c:formatCode>
                <c:ptCount val="6"/>
                <c:pt idx="0">
                  <c:v>0.45244368349435299</c:v>
                </c:pt>
                <c:pt idx="1">
                  <c:v>1.79466281357635</c:v>
                </c:pt>
                <c:pt idx="2">
                  <c:v>2.5152555773966601</c:v>
                </c:pt>
                <c:pt idx="3">
                  <c:v>3.36022212042417</c:v>
                </c:pt>
                <c:pt idx="4">
                  <c:v>4.4422569472407503</c:v>
                </c:pt>
                <c:pt idx="5">
                  <c:v>3.90496155656695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04-4009-AC10-EF79372E17B1}"/>
            </c:ext>
          </c:extLst>
        </c:ser>
        <c:ser>
          <c:idx val="4"/>
          <c:order val="4"/>
          <c:tx>
            <c:strRef>
              <c:f>MAE!$F$91:$F$92</c:f>
              <c:strCache>
                <c:ptCount val="2"/>
                <c:pt idx="0">
                  <c:v>s5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MAE!$F$93:$F$98</c:f>
              <c:numCache>
                <c:formatCode>General</c:formatCode>
                <c:ptCount val="6"/>
                <c:pt idx="0">
                  <c:v>0.56428561798052701</c:v>
                </c:pt>
                <c:pt idx="1">
                  <c:v>1.4699538496321101</c:v>
                </c:pt>
                <c:pt idx="2">
                  <c:v>2.2862955920768</c:v>
                </c:pt>
                <c:pt idx="3">
                  <c:v>3.0502767263883199</c:v>
                </c:pt>
                <c:pt idx="4">
                  <c:v>3.6270986794682298</c:v>
                </c:pt>
                <c:pt idx="5">
                  <c:v>3.5810826470433499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04-4009-AC10-EF79372E17B1}"/>
            </c:ext>
          </c:extLst>
        </c:ser>
        <c:ser>
          <c:idx val="5"/>
          <c:order val="5"/>
          <c:tx>
            <c:strRef>
              <c:f>MAE!$G$91:$G$92</c:f>
              <c:strCache>
                <c:ptCount val="2"/>
                <c:pt idx="0">
                  <c:v>s5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MAE!$G$93:$G$98</c:f>
              <c:numCache>
                <c:formatCode>General</c:formatCode>
                <c:ptCount val="6"/>
                <c:pt idx="0">
                  <c:v>0.91962067505783895</c:v>
                </c:pt>
                <c:pt idx="1">
                  <c:v>1.7949832327784201</c:v>
                </c:pt>
                <c:pt idx="2">
                  <c:v>2.68790285532102</c:v>
                </c:pt>
                <c:pt idx="3">
                  <c:v>3.3652386869552702</c:v>
                </c:pt>
                <c:pt idx="4">
                  <c:v>4.5656577516676702</c:v>
                </c:pt>
                <c:pt idx="5">
                  <c:v>3.9263036366131998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04-4009-AC10-EF79372E17B1}"/>
            </c:ext>
          </c:extLst>
        </c:ser>
        <c:ser>
          <c:idx val="6"/>
          <c:order val="6"/>
          <c:tx>
            <c:strRef>
              <c:f>MAE!$H$91:$H$92</c:f>
              <c:strCache>
                <c:ptCount val="2"/>
                <c:pt idx="0">
                  <c:v>s5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MAE!$A$93:$A$98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MAE!$H$93:$H$98</c:f>
              <c:numCache>
                <c:formatCode>General</c:formatCode>
                <c:ptCount val="6"/>
                <c:pt idx="0">
                  <c:v>0.92996302319661095</c:v>
                </c:pt>
                <c:pt idx="1">
                  <c:v>1.7949832327784201</c:v>
                </c:pt>
                <c:pt idx="2">
                  <c:v>2.71091590383182</c:v>
                </c:pt>
                <c:pt idx="3">
                  <c:v>3.3652386869552702</c:v>
                </c:pt>
                <c:pt idx="4">
                  <c:v>4.6062695582793598</c:v>
                </c:pt>
                <c:pt idx="5">
                  <c:v>3.9263036366131998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04-4009-AC10-EF79372E1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MSE!$B$1:$B$2</c:f>
              <c:strCache>
                <c:ptCount val="2"/>
                <c:pt idx="0">
                  <c:v>Domain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MSE!$B$3:$B$8</c:f>
              <c:numCache>
                <c:formatCode>General</c:formatCode>
                <c:ptCount val="6"/>
                <c:pt idx="0">
                  <c:v>7.4092761559985301E-2</c:v>
                </c:pt>
                <c:pt idx="1">
                  <c:v>0.71812072659039194</c:v>
                </c:pt>
                <c:pt idx="2">
                  <c:v>1.76217404362635</c:v>
                </c:pt>
                <c:pt idx="3">
                  <c:v>2.56423269384435</c:v>
                </c:pt>
                <c:pt idx="4">
                  <c:v>4.0999354564344896</c:v>
                </c:pt>
                <c:pt idx="5">
                  <c:v>4.1566023241043002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0-4559-8167-81351885D6AD}"/>
            </c:ext>
          </c:extLst>
        </c:ser>
        <c:ser>
          <c:idx val="1"/>
          <c:order val="1"/>
          <c:tx>
            <c:strRef>
              <c:f>MSE!$C$1:$C$2</c:f>
              <c:strCache>
                <c:ptCount val="2"/>
                <c:pt idx="0">
                  <c:v>Domain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MSE!$C$3:$C$8</c:f>
              <c:numCache>
                <c:formatCode>General</c:formatCode>
                <c:ptCount val="6"/>
                <c:pt idx="0">
                  <c:v>0.102327430331417</c:v>
                </c:pt>
                <c:pt idx="1">
                  <c:v>0.72132527742882302</c:v>
                </c:pt>
                <c:pt idx="2">
                  <c:v>1.72286117787566</c:v>
                </c:pt>
                <c:pt idx="3">
                  <c:v>2.4442355756995902</c:v>
                </c:pt>
                <c:pt idx="4">
                  <c:v>3.9780034065399699</c:v>
                </c:pt>
                <c:pt idx="5">
                  <c:v>4.2642601650638099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30-4559-8167-81351885D6AD}"/>
            </c:ext>
          </c:extLst>
        </c:ser>
        <c:ser>
          <c:idx val="2"/>
          <c:order val="2"/>
          <c:tx>
            <c:strRef>
              <c:f>MSE!$D$1:$D$2</c:f>
              <c:strCache>
                <c:ptCount val="2"/>
                <c:pt idx="0">
                  <c:v>Domain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MSE!$D$3:$D$8</c:f>
              <c:numCache>
                <c:formatCode>General</c:formatCode>
                <c:ptCount val="6"/>
                <c:pt idx="0">
                  <c:v>0.108446739921454</c:v>
                </c:pt>
                <c:pt idx="1">
                  <c:v>1.3917604775758601</c:v>
                </c:pt>
                <c:pt idx="2">
                  <c:v>2.8242754052354302</c:v>
                </c:pt>
                <c:pt idx="3">
                  <c:v>5.1610565003577298</c:v>
                </c:pt>
                <c:pt idx="4">
                  <c:v>7.1682263522394098</c:v>
                </c:pt>
                <c:pt idx="5">
                  <c:v>8.8365356196786795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30-4559-8167-81351885D6AD}"/>
            </c:ext>
          </c:extLst>
        </c:ser>
        <c:ser>
          <c:idx val="3"/>
          <c:order val="3"/>
          <c:tx>
            <c:strRef>
              <c:f>MSE!$E$1:$E$2</c:f>
              <c:strCache>
                <c:ptCount val="2"/>
                <c:pt idx="0">
                  <c:v>Domain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MSE!$E$3:$E$8</c:f>
              <c:numCache>
                <c:formatCode>General</c:formatCode>
                <c:ptCount val="6"/>
                <c:pt idx="0">
                  <c:v>0.1084484498224</c:v>
                </c:pt>
                <c:pt idx="1">
                  <c:v>20.1740448713681</c:v>
                </c:pt>
                <c:pt idx="2">
                  <c:v>2.8230846883209</c:v>
                </c:pt>
                <c:pt idx="3">
                  <c:v>5.3013202890006204</c:v>
                </c:pt>
                <c:pt idx="4">
                  <c:v>7.1562474648002103</c:v>
                </c:pt>
                <c:pt idx="5">
                  <c:v>8.8757973118305706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30-4559-8167-81351885D6AD}"/>
            </c:ext>
          </c:extLst>
        </c:ser>
        <c:ser>
          <c:idx val="4"/>
          <c:order val="4"/>
          <c:tx>
            <c:strRef>
              <c:f>MSE!$F$1:$F$2</c:f>
              <c:strCache>
                <c:ptCount val="2"/>
                <c:pt idx="0">
                  <c:v>Domain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MSE!$F$3:$F$8</c:f>
              <c:numCache>
                <c:formatCode>General</c:formatCode>
                <c:ptCount val="6"/>
                <c:pt idx="0">
                  <c:v>0.16446848637000999</c:v>
                </c:pt>
                <c:pt idx="1">
                  <c:v>0.84842262954391301</c:v>
                </c:pt>
                <c:pt idx="2">
                  <c:v>2.0736870543289601</c:v>
                </c:pt>
                <c:pt idx="3">
                  <c:v>4.2037988324173297</c:v>
                </c:pt>
                <c:pt idx="4">
                  <c:v>5.4755688910830997</c:v>
                </c:pt>
                <c:pt idx="5">
                  <c:v>6.7972503783407996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30-4559-8167-81351885D6AD}"/>
            </c:ext>
          </c:extLst>
        </c:ser>
        <c:ser>
          <c:idx val="5"/>
          <c:order val="5"/>
          <c:tx>
            <c:strRef>
              <c:f>MSE!$G$1:$G$2</c:f>
              <c:strCache>
                <c:ptCount val="2"/>
                <c:pt idx="0">
                  <c:v>Domain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MSE!$G$3:$G$8</c:f>
              <c:numCache>
                <c:formatCode>General</c:formatCode>
                <c:ptCount val="6"/>
                <c:pt idx="0">
                  <c:v>0.46236324656931099</c:v>
                </c:pt>
                <c:pt idx="1">
                  <c:v>1.3917604775758601</c:v>
                </c:pt>
                <c:pt idx="2">
                  <c:v>3.29734894849455</c:v>
                </c:pt>
                <c:pt idx="3">
                  <c:v>5.1610565003577298</c:v>
                </c:pt>
                <c:pt idx="4">
                  <c:v>7.5202849488097803</c:v>
                </c:pt>
                <c:pt idx="5">
                  <c:v>8.8365356196786795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30-4559-8167-81351885D6AD}"/>
            </c:ext>
          </c:extLst>
        </c:ser>
        <c:ser>
          <c:idx val="6"/>
          <c:order val="6"/>
          <c:tx>
            <c:strRef>
              <c:f>MSE!$H$1:$H$2</c:f>
              <c:strCache>
                <c:ptCount val="2"/>
                <c:pt idx="0">
                  <c:v>Domain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MSE!$H$3:$H$8</c:f>
              <c:numCache>
                <c:formatCode>General</c:formatCode>
                <c:ptCount val="6"/>
                <c:pt idx="0">
                  <c:v>0.47316786405580902</c:v>
                </c:pt>
                <c:pt idx="1">
                  <c:v>1.3917604775758601</c:v>
                </c:pt>
                <c:pt idx="2">
                  <c:v>3.28552319391035</c:v>
                </c:pt>
                <c:pt idx="3">
                  <c:v>5.1610565003577298</c:v>
                </c:pt>
                <c:pt idx="4">
                  <c:v>7.5151522690168102</c:v>
                </c:pt>
                <c:pt idx="5">
                  <c:v>8.8365356196786795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30-4559-8167-81351885D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MSE!$B$9:$B$10</c:f>
              <c:strCache>
                <c:ptCount val="2"/>
                <c:pt idx="0">
                  <c:v>s1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MSE!$B$11:$B$16</c:f>
              <c:numCache>
                <c:formatCode>General</c:formatCode>
                <c:ptCount val="6"/>
                <c:pt idx="0">
                  <c:v>3.4078706320722602E-2</c:v>
                </c:pt>
                <c:pt idx="1">
                  <c:v>0.33672260718540498</c:v>
                </c:pt>
                <c:pt idx="2">
                  <c:v>0.944321678997318</c:v>
                </c:pt>
                <c:pt idx="3">
                  <c:v>1.2934343324214801</c:v>
                </c:pt>
                <c:pt idx="4">
                  <c:v>2.30120944376679</c:v>
                </c:pt>
                <c:pt idx="5">
                  <c:v>1.89744498922752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E8-4CE6-A7A9-5970EE25E171}"/>
            </c:ext>
          </c:extLst>
        </c:ser>
        <c:ser>
          <c:idx val="1"/>
          <c:order val="1"/>
          <c:tx>
            <c:strRef>
              <c:f>MSE!$C$9:$C$10</c:f>
              <c:strCache>
                <c:ptCount val="2"/>
                <c:pt idx="0">
                  <c:v>s1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MSE!$C$11:$C$16</c:f>
              <c:numCache>
                <c:formatCode>General</c:formatCode>
                <c:ptCount val="6"/>
                <c:pt idx="0">
                  <c:v>4.7203092776316902E-2</c:v>
                </c:pt>
                <c:pt idx="1">
                  <c:v>0.35037477086971802</c:v>
                </c:pt>
                <c:pt idx="2">
                  <c:v>0.89951803348117798</c:v>
                </c:pt>
                <c:pt idx="3">
                  <c:v>1.19297404655364</c:v>
                </c:pt>
                <c:pt idx="4">
                  <c:v>2.0999633800678201</c:v>
                </c:pt>
                <c:pt idx="5">
                  <c:v>1.8492935526168399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E8-4CE6-A7A9-5970EE25E171}"/>
            </c:ext>
          </c:extLst>
        </c:ser>
        <c:ser>
          <c:idx val="2"/>
          <c:order val="2"/>
          <c:tx>
            <c:strRef>
              <c:f>MSE!$D$9:$D$10</c:f>
              <c:strCache>
                <c:ptCount val="2"/>
                <c:pt idx="0">
                  <c:v>s1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MSE!$D$11:$D$16</c:f>
              <c:numCache>
                <c:formatCode>General</c:formatCode>
                <c:ptCount val="6"/>
                <c:pt idx="0">
                  <c:v>5.2784792704143602E-2</c:v>
                </c:pt>
                <c:pt idx="1">
                  <c:v>0.66650864620466899</c:v>
                </c:pt>
                <c:pt idx="2">
                  <c:v>1.4607563252603</c:v>
                </c:pt>
                <c:pt idx="3">
                  <c:v>2.4858895793650699</c:v>
                </c:pt>
                <c:pt idx="4">
                  <c:v>3.5529054942023</c:v>
                </c:pt>
                <c:pt idx="5">
                  <c:v>3.64909157869281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E8-4CE6-A7A9-5970EE25E171}"/>
            </c:ext>
          </c:extLst>
        </c:ser>
        <c:ser>
          <c:idx val="3"/>
          <c:order val="3"/>
          <c:tx>
            <c:strRef>
              <c:f>MSE!$E$9:$E$10</c:f>
              <c:strCache>
                <c:ptCount val="2"/>
                <c:pt idx="0">
                  <c:v>s1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MSE!$E$11:$E$16</c:f>
              <c:numCache>
                <c:formatCode>General</c:formatCode>
                <c:ptCount val="6"/>
                <c:pt idx="0">
                  <c:v>5.2799609720276003E-2</c:v>
                </c:pt>
                <c:pt idx="1">
                  <c:v>7.4061691490936301</c:v>
                </c:pt>
                <c:pt idx="2">
                  <c:v>1.4623910859874101</c:v>
                </c:pt>
                <c:pt idx="3">
                  <c:v>2.4855076775076399</c:v>
                </c:pt>
                <c:pt idx="4">
                  <c:v>3.5440586255215099</c:v>
                </c:pt>
                <c:pt idx="5">
                  <c:v>3.6366586584466001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E8-4CE6-A7A9-5970EE25E171}"/>
            </c:ext>
          </c:extLst>
        </c:ser>
        <c:ser>
          <c:idx val="4"/>
          <c:order val="4"/>
          <c:tx>
            <c:strRef>
              <c:f>MSE!$F$9:$F$10</c:f>
              <c:strCache>
                <c:ptCount val="2"/>
                <c:pt idx="0">
                  <c:v>s1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MSE!$F$11:$F$16</c:f>
              <c:numCache>
                <c:formatCode>General</c:formatCode>
                <c:ptCount val="6"/>
                <c:pt idx="0">
                  <c:v>8.2921026132286704E-2</c:v>
                </c:pt>
                <c:pt idx="1">
                  <c:v>0.43209051308858798</c:v>
                </c:pt>
                <c:pt idx="2">
                  <c:v>1.03594912214101</c:v>
                </c:pt>
                <c:pt idx="3">
                  <c:v>1.6285711506446201</c:v>
                </c:pt>
                <c:pt idx="4">
                  <c:v>2.63701835180118</c:v>
                </c:pt>
                <c:pt idx="5">
                  <c:v>2.65255085994561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E8-4CE6-A7A9-5970EE25E171}"/>
            </c:ext>
          </c:extLst>
        </c:ser>
        <c:ser>
          <c:idx val="5"/>
          <c:order val="5"/>
          <c:tx>
            <c:strRef>
              <c:f>MSE!$G$9:$G$10</c:f>
              <c:strCache>
                <c:ptCount val="2"/>
                <c:pt idx="0">
                  <c:v>s1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MSE!$G$11:$G$16</c:f>
              <c:numCache>
                <c:formatCode>General</c:formatCode>
                <c:ptCount val="6"/>
                <c:pt idx="0">
                  <c:v>0.21498920090152901</c:v>
                </c:pt>
                <c:pt idx="1">
                  <c:v>0.66650864620466899</c:v>
                </c:pt>
                <c:pt idx="2">
                  <c:v>1.66954434620932</c:v>
                </c:pt>
                <c:pt idx="3">
                  <c:v>2.4858895793650699</c:v>
                </c:pt>
                <c:pt idx="4">
                  <c:v>3.6775408314697402</c:v>
                </c:pt>
                <c:pt idx="5">
                  <c:v>3.64909157869281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E8-4CE6-A7A9-5970EE25E171}"/>
            </c:ext>
          </c:extLst>
        </c:ser>
        <c:ser>
          <c:idx val="6"/>
          <c:order val="6"/>
          <c:tx>
            <c:strRef>
              <c:f>MSE!$H$9:$H$10</c:f>
              <c:strCache>
                <c:ptCount val="2"/>
                <c:pt idx="0">
                  <c:v>s1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MSE!$H$11:$H$16</c:f>
              <c:numCache>
                <c:formatCode>General</c:formatCode>
                <c:ptCount val="6"/>
                <c:pt idx="0">
                  <c:v>0.24350611302063599</c:v>
                </c:pt>
                <c:pt idx="1">
                  <c:v>0.66650864620466899</c:v>
                </c:pt>
                <c:pt idx="2">
                  <c:v>1.69078708518386</c:v>
                </c:pt>
                <c:pt idx="3">
                  <c:v>2.4858895793650699</c:v>
                </c:pt>
                <c:pt idx="4">
                  <c:v>3.82861298500297</c:v>
                </c:pt>
                <c:pt idx="5">
                  <c:v>3.64909157869281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E8-4CE6-A7A9-5970EE25E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MSE!$B$17:$B$18</c:f>
              <c:strCache>
                <c:ptCount val="2"/>
                <c:pt idx="0">
                  <c:v>s2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MSE!$B$19:$B$24</c:f>
              <c:numCache>
                <c:formatCode>General</c:formatCode>
                <c:ptCount val="6"/>
                <c:pt idx="0">
                  <c:v>0.16128617512728299</c:v>
                </c:pt>
                <c:pt idx="1">
                  <c:v>1.55459647092051</c:v>
                </c:pt>
                <c:pt idx="2">
                  <c:v>3.5962950350560701</c:v>
                </c:pt>
                <c:pt idx="3">
                  <c:v>5.0275272908266597</c:v>
                </c:pt>
                <c:pt idx="4">
                  <c:v>9.6224459141132392</c:v>
                </c:pt>
                <c:pt idx="5">
                  <c:v>11.6576190391006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C6-4E25-AE4D-658CC55A0865}"/>
            </c:ext>
          </c:extLst>
        </c:ser>
        <c:ser>
          <c:idx val="1"/>
          <c:order val="1"/>
          <c:tx>
            <c:strRef>
              <c:f>MSE!$C$17:$C$18</c:f>
              <c:strCache>
                <c:ptCount val="2"/>
                <c:pt idx="0">
                  <c:v>s2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MSE!$C$19:$C$24</c:f>
              <c:numCache>
                <c:formatCode>General</c:formatCode>
                <c:ptCount val="6"/>
                <c:pt idx="0">
                  <c:v>0.22149668164121</c:v>
                </c:pt>
                <c:pt idx="1">
                  <c:v>1.50891791733863</c:v>
                </c:pt>
                <c:pt idx="2">
                  <c:v>3.60321228475842</c:v>
                </c:pt>
                <c:pt idx="3">
                  <c:v>4.7636513147724298</c:v>
                </c:pt>
                <c:pt idx="4">
                  <c:v>9.8217380686890792</c:v>
                </c:pt>
                <c:pt idx="5">
                  <c:v>12.365437012635599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C6-4E25-AE4D-658CC55A0865}"/>
            </c:ext>
          </c:extLst>
        </c:ser>
        <c:ser>
          <c:idx val="2"/>
          <c:order val="2"/>
          <c:tx>
            <c:strRef>
              <c:f>MSE!$D$17:$D$18</c:f>
              <c:strCache>
                <c:ptCount val="2"/>
                <c:pt idx="0">
                  <c:v>s2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MSE!$D$19:$D$24</c:f>
              <c:numCache>
                <c:formatCode>General</c:formatCode>
                <c:ptCount val="6"/>
                <c:pt idx="0">
                  <c:v>0.21726808360626201</c:v>
                </c:pt>
                <c:pt idx="1">
                  <c:v>2.9096437629804699</c:v>
                </c:pt>
                <c:pt idx="2">
                  <c:v>5.63069882596377</c:v>
                </c:pt>
                <c:pt idx="3">
                  <c:v>10.8973853209775</c:v>
                </c:pt>
                <c:pt idx="4">
                  <c:v>14.2426885365534</c:v>
                </c:pt>
                <c:pt idx="5">
                  <c:v>20.446530533387701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C6-4E25-AE4D-658CC55A0865}"/>
            </c:ext>
          </c:extLst>
        </c:ser>
        <c:ser>
          <c:idx val="3"/>
          <c:order val="3"/>
          <c:tx>
            <c:strRef>
              <c:f>MSE!$E$17:$E$18</c:f>
              <c:strCache>
                <c:ptCount val="2"/>
                <c:pt idx="0">
                  <c:v>s2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MSE!$E$19:$E$24</c:f>
              <c:numCache>
                <c:formatCode>General</c:formatCode>
                <c:ptCount val="6"/>
                <c:pt idx="0">
                  <c:v>0.21728143141983</c:v>
                </c:pt>
                <c:pt idx="1">
                  <c:v>9.0998379531072899</c:v>
                </c:pt>
                <c:pt idx="2">
                  <c:v>5.6209855784979501</c:v>
                </c:pt>
                <c:pt idx="3">
                  <c:v>11.450755042067501</c:v>
                </c:pt>
                <c:pt idx="4">
                  <c:v>14.2365313095631</c:v>
                </c:pt>
                <c:pt idx="5">
                  <c:v>20.720128385580701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C6-4E25-AE4D-658CC55A0865}"/>
            </c:ext>
          </c:extLst>
        </c:ser>
        <c:ser>
          <c:idx val="4"/>
          <c:order val="4"/>
          <c:tx>
            <c:strRef>
              <c:f>MSE!$F$17:$F$18</c:f>
              <c:strCache>
                <c:ptCount val="2"/>
                <c:pt idx="0">
                  <c:v>s2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MSE!$F$19:$F$24</c:f>
              <c:numCache>
                <c:formatCode>General</c:formatCode>
                <c:ptCount val="6"/>
                <c:pt idx="0">
                  <c:v>0.31960126196022198</c:v>
                </c:pt>
                <c:pt idx="1">
                  <c:v>1.6380532449257099</c:v>
                </c:pt>
                <c:pt idx="2">
                  <c:v>4.0731758687808703</c:v>
                </c:pt>
                <c:pt idx="3">
                  <c:v>10.0759667153953</c:v>
                </c:pt>
                <c:pt idx="4">
                  <c:v>11.6035785292811</c:v>
                </c:pt>
                <c:pt idx="5">
                  <c:v>16.303441354602199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C6-4E25-AE4D-658CC55A0865}"/>
            </c:ext>
          </c:extLst>
        </c:ser>
        <c:ser>
          <c:idx val="5"/>
          <c:order val="5"/>
          <c:tx>
            <c:strRef>
              <c:f>MSE!$G$17:$G$18</c:f>
              <c:strCache>
                <c:ptCount val="2"/>
                <c:pt idx="0">
                  <c:v>s2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MSE!$G$19:$G$24</c:f>
              <c:numCache>
                <c:formatCode>General</c:formatCode>
                <c:ptCount val="6"/>
                <c:pt idx="0">
                  <c:v>0.971233074860537</c:v>
                </c:pt>
                <c:pt idx="1">
                  <c:v>2.9096437629804699</c:v>
                </c:pt>
                <c:pt idx="2">
                  <c:v>6.6291328738873396</c:v>
                </c:pt>
                <c:pt idx="3">
                  <c:v>10.8973853209775</c:v>
                </c:pt>
                <c:pt idx="4">
                  <c:v>14.9449993615309</c:v>
                </c:pt>
                <c:pt idx="5">
                  <c:v>20.446530533387701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C6-4E25-AE4D-658CC55A0865}"/>
            </c:ext>
          </c:extLst>
        </c:ser>
        <c:ser>
          <c:idx val="6"/>
          <c:order val="6"/>
          <c:tx>
            <c:strRef>
              <c:f>MSE!$H$17:$H$18</c:f>
              <c:strCache>
                <c:ptCount val="2"/>
                <c:pt idx="0">
                  <c:v>s2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MSE!$H$19:$H$24</c:f>
              <c:numCache>
                <c:formatCode>General</c:formatCode>
                <c:ptCount val="6"/>
                <c:pt idx="0">
                  <c:v>0.94781142181129996</c:v>
                </c:pt>
                <c:pt idx="1">
                  <c:v>2.9096437629804699</c:v>
                </c:pt>
                <c:pt idx="2">
                  <c:v>6.7369665058819796</c:v>
                </c:pt>
                <c:pt idx="3">
                  <c:v>10.8973853209775</c:v>
                </c:pt>
                <c:pt idx="4">
                  <c:v>14.7456879300026</c:v>
                </c:pt>
                <c:pt idx="5">
                  <c:v>20.446530533387701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C6-4E25-AE4D-658CC55A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MSE!$B$25:$B$26</c:f>
              <c:strCache>
                <c:ptCount val="2"/>
                <c:pt idx="0">
                  <c:v>s3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MSE!$B$27:$B$32</c:f>
              <c:numCache>
                <c:formatCode>General</c:formatCode>
                <c:ptCount val="6"/>
                <c:pt idx="0">
                  <c:v>0.116244558094648</c:v>
                </c:pt>
                <c:pt idx="1">
                  <c:v>1.1780812819040201</c:v>
                </c:pt>
                <c:pt idx="2">
                  <c:v>3.06380916912109</c:v>
                </c:pt>
                <c:pt idx="3">
                  <c:v>4.7195630093552099</c:v>
                </c:pt>
                <c:pt idx="4">
                  <c:v>6.5039733848362102</c:v>
                </c:pt>
                <c:pt idx="5">
                  <c:v>5.85011005019674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34-4A92-A90C-C28EAF81EEA8}"/>
            </c:ext>
          </c:extLst>
        </c:ser>
        <c:ser>
          <c:idx val="1"/>
          <c:order val="1"/>
          <c:tx>
            <c:strRef>
              <c:f>MSE!$C$25:$C$26</c:f>
              <c:strCache>
                <c:ptCount val="2"/>
                <c:pt idx="0">
                  <c:v>s3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MSE!$C$27:$C$32</c:f>
              <c:numCache>
                <c:formatCode>General</c:formatCode>
                <c:ptCount val="6"/>
                <c:pt idx="0">
                  <c:v>0.16246845341743499</c:v>
                </c:pt>
                <c:pt idx="1">
                  <c:v>1.19316008022689</c:v>
                </c:pt>
                <c:pt idx="2">
                  <c:v>2.86824531422607</c:v>
                </c:pt>
                <c:pt idx="3">
                  <c:v>4.2879552641590397</c:v>
                </c:pt>
                <c:pt idx="4">
                  <c:v>6.0401805132241897</c:v>
                </c:pt>
                <c:pt idx="5">
                  <c:v>5.9965775155338701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34-4A92-A90C-C28EAF81EEA8}"/>
            </c:ext>
          </c:extLst>
        </c:ser>
        <c:ser>
          <c:idx val="2"/>
          <c:order val="2"/>
          <c:tx>
            <c:strRef>
              <c:f>MSE!$D$25:$D$26</c:f>
              <c:strCache>
                <c:ptCount val="2"/>
                <c:pt idx="0">
                  <c:v>s3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MSE!$D$27:$D$32</c:f>
              <c:numCache>
                <c:formatCode>General</c:formatCode>
                <c:ptCount val="6"/>
                <c:pt idx="0">
                  <c:v>0.16186238078422399</c:v>
                </c:pt>
                <c:pt idx="1">
                  <c:v>2.23637825598514</c:v>
                </c:pt>
                <c:pt idx="2">
                  <c:v>4.6555487866846601</c:v>
                </c:pt>
                <c:pt idx="3">
                  <c:v>8.3713510516193104</c:v>
                </c:pt>
                <c:pt idx="4">
                  <c:v>9.9749820990320792</c:v>
                </c:pt>
                <c:pt idx="5">
                  <c:v>14.1670882789481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34-4A92-A90C-C28EAF81EEA8}"/>
            </c:ext>
          </c:extLst>
        </c:ser>
        <c:ser>
          <c:idx val="3"/>
          <c:order val="3"/>
          <c:tx>
            <c:strRef>
              <c:f>MSE!$E$25:$E$26</c:f>
              <c:strCache>
                <c:ptCount val="2"/>
                <c:pt idx="0">
                  <c:v>s3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MSE!$E$27:$E$32</c:f>
              <c:numCache>
                <c:formatCode>General</c:formatCode>
                <c:ptCount val="6"/>
                <c:pt idx="0">
                  <c:v>0.16184888186694199</c:v>
                </c:pt>
                <c:pt idx="1">
                  <c:v>2.2373151904440198</c:v>
                </c:pt>
                <c:pt idx="2">
                  <c:v>4.6578920565393602</c:v>
                </c:pt>
                <c:pt idx="3">
                  <c:v>8.3746382512297597</c:v>
                </c:pt>
                <c:pt idx="4">
                  <c:v>9.9661854853455996</c:v>
                </c:pt>
                <c:pt idx="5">
                  <c:v>14.126219565831899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34-4A92-A90C-C28EAF81EEA8}"/>
            </c:ext>
          </c:extLst>
        </c:ser>
        <c:ser>
          <c:idx val="4"/>
          <c:order val="4"/>
          <c:tx>
            <c:strRef>
              <c:f>MSE!$F$25:$F$26</c:f>
              <c:strCache>
                <c:ptCount val="2"/>
                <c:pt idx="0">
                  <c:v>s3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MSE!$F$27:$F$32</c:f>
              <c:numCache>
                <c:formatCode>General</c:formatCode>
                <c:ptCount val="6"/>
                <c:pt idx="0">
                  <c:v>0.25271364402164997</c:v>
                </c:pt>
                <c:pt idx="1">
                  <c:v>1.28595549303962</c:v>
                </c:pt>
                <c:pt idx="2">
                  <c:v>2.9781714032413502</c:v>
                </c:pt>
                <c:pt idx="3">
                  <c:v>5.9421961068902203</c:v>
                </c:pt>
                <c:pt idx="4">
                  <c:v>6.0775783959944798</c:v>
                </c:pt>
                <c:pt idx="5">
                  <c:v>9.9063833850731697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34-4A92-A90C-C28EAF81EEA8}"/>
            </c:ext>
          </c:extLst>
        </c:ser>
        <c:ser>
          <c:idx val="5"/>
          <c:order val="5"/>
          <c:tx>
            <c:strRef>
              <c:f>MSE!$G$25:$G$26</c:f>
              <c:strCache>
                <c:ptCount val="2"/>
                <c:pt idx="0">
                  <c:v>s3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MSE!$G$27:$G$32</c:f>
              <c:numCache>
                <c:formatCode>General</c:formatCode>
                <c:ptCount val="6"/>
                <c:pt idx="0">
                  <c:v>0.74716232604856903</c:v>
                </c:pt>
                <c:pt idx="1">
                  <c:v>2.23637825598514</c:v>
                </c:pt>
                <c:pt idx="2">
                  <c:v>5.4260694024332796</c:v>
                </c:pt>
                <c:pt idx="3">
                  <c:v>8.3713510516193104</c:v>
                </c:pt>
                <c:pt idx="4">
                  <c:v>10.586121803837599</c:v>
                </c:pt>
                <c:pt idx="5">
                  <c:v>14.1670882789481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34-4A92-A90C-C28EAF81EEA8}"/>
            </c:ext>
          </c:extLst>
        </c:ser>
        <c:ser>
          <c:idx val="6"/>
          <c:order val="6"/>
          <c:tx>
            <c:strRef>
              <c:f>MSE!$H$25:$H$26</c:f>
              <c:strCache>
                <c:ptCount val="2"/>
                <c:pt idx="0">
                  <c:v>s3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MSE!$H$27:$H$32</c:f>
              <c:numCache>
                <c:formatCode>General</c:formatCode>
                <c:ptCount val="6"/>
                <c:pt idx="0">
                  <c:v>0.83310143815576498</c:v>
                </c:pt>
                <c:pt idx="1">
                  <c:v>2.23637825598514</c:v>
                </c:pt>
                <c:pt idx="2">
                  <c:v>5.4964942659715597</c:v>
                </c:pt>
                <c:pt idx="3">
                  <c:v>8.3713510516193104</c:v>
                </c:pt>
                <c:pt idx="4">
                  <c:v>10.668048032826</c:v>
                </c:pt>
                <c:pt idx="5">
                  <c:v>14.1670882789481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34-4A92-A90C-C28EAF81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MSE!$B$33:$B$34</c:f>
              <c:strCache>
                <c:ptCount val="2"/>
                <c:pt idx="0">
                  <c:v>s4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MSE!$B$35:$B$40</c:f>
              <c:numCache>
                <c:formatCode>General</c:formatCode>
                <c:ptCount val="6"/>
                <c:pt idx="0">
                  <c:v>0.236076468716861</c:v>
                </c:pt>
                <c:pt idx="1">
                  <c:v>2.4262617168610801</c:v>
                </c:pt>
                <c:pt idx="2">
                  <c:v>5.2761926808059396</c:v>
                </c:pt>
                <c:pt idx="3">
                  <c:v>7.6979026778607</c:v>
                </c:pt>
                <c:pt idx="4">
                  <c:v>15.9596789880478</c:v>
                </c:pt>
                <c:pt idx="5">
                  <c:v>12.0645733360489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C5-44FB-99CF-E1B955FF722A}"/>
            </c:ext>
          </c:extLst>
        </c:ser>
        <c:ser>
          <c:idx val="1"/>
          <c:order val="1"/>
          <c:tx>
            <c:strRef>
              <c:f>MSE!$C$33:$C$34</c:f>
              <c:strCache>
                <c:ptCount val="2"/>
                <c:pt idx="0">
                  <c:v>s4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MSE!$C$35:$C$40</c:f>
              <c:numCache>
                <c:formatCode>General</c:formatCode>
                <c:ptCount val="6"/>
                <c:pt idx="0">
                  <c:v>0.31134668822905698</c:v>
                </c:pt>
                <c:pt idx="1">
                  <c:v>2.0920248366914098</c:v>
                </c:pt>
                <c:pt idx="2">
                  <c:v>4.6310258685047803</c:v>
                </c:pt>
                <c:pt idx="3">
                  <c:v>8.1175743296019895</c:v>
                </c:pt>
                <c:pt idx="4">
                  <c:v>16.658257739043801</c:v>
                </c:pt>
                <c:pt idx="5">
                  <c:v>11.78229999389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C5-44FB-99CF-E1B955FF722A}"/>
            </c:ext>
          </c:extLst>
        </c:ser>
        <c:ser>
          <c:idx val="2"/>
          <c:order val="2"/>
          <c:tx>
            <c:strRef>
              <c:f>MSE!$D$33:$D$34</c:f>
              <c:strCache>
                <c:ptCount val="2"/>
                <c:pt idx="0">
                  <c:v>s4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MSE!$D$35:$D$40</c:f>
              <c:numCache>
                <c:formatCode>General</c:formatCode>
                <c:ptCount val="6"/>
                <c:pt idx="0">
                  <c:v>0.32298422197309401</c:v>
                </c:pt>
                <c:pt idx="1">
                  <c:v>4.6380656636771302</c:v>
                </c:pt>
                <c:pt idx="2">
                  <c:v>10.1535557600897</c:v>
                </c:pt>
                <c:pt idx="3">
                  <c:v>18.1057503654709</c:v>
                </c:pt>
                <c:pt idx="4">
                  <c:v>21.320093692049198</c:v>
                </c:pt>
                <c:pt idx="5">
                  <c:v>31.386305530795099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C5-44FB-99CF-E1B955FF722A}"/>
            </c:ext>
          </c:extLst>
        </c:ser>
        <c:ser>
          <c:idx val="3"/>
          <c:order val="3"/>
          <c:tx>
            <c:strRef>
              <c:f>MSE!$E$33:$E$34</c:f>
              <c:strCache>
                <c:ptCount val="2"/>
                <c:pt idx="0">
                  <c:v>s4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MSE!$E$35:$E$40</c:f>
              <c:numCache>
                <c:formatCode>General</c:formatCode>
                <c:ptCount val="6"/>
                <c:pt idx="0">
                  <c:v>0.32274893721973202</c:v>
                </c:pt>
                <c:pt idx="1">
                  <c:v>4.6449722141255503</c:v>
                </c:pt>
                <c:pt idx="2">
                  <c:v>10.169691957399101</c:v>
                </c:pt>
                <c:pt idx="3">
                  <c:v>18.273800713004501</c:v>
                </c:pt>
                <c:pt idx="4">
                  <c:v>21.466458090705501</c:v>
                </c:pt>
                <c:pt idx="5">
                  <c:v>32.019765777155598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C5-44FB-99CF-E1B955FF722A}"/>
            </c:ext>
          </c:extLst>
        </c:ser>
        <c:ser>
          <c:idx val="4"/>
          <c:order val="4"/>
          <c:tx>
            <c:strRef>
              <c:f>MSE!$F$33:$F$34</c:f>
              <c:strCache>
                <c:ptCount val="2"/>
                <c:pt idx="0">
                  <c:v>s4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MSE!$F$35:$F$40</c:f>
              <c:numCache>
                <c:formatCode>General</c:formatCode>
                <c:ptCount val="6"/>
                <c:pt idx="0">
                  <c:v>0.48603666704035797</c:v>
                </c:pt>
                <c:pt idx="1">
                  <c:v>2.3558078577827599</c:v>
                </c:pt>
                <c:pt idx="2">
                  <c:v>4.8081201858902602</c:v>
                </c:pt>
                <c:pt idx="3">
                  <c:v>10.907595024636001</c:v>
                </c:pt>
                <c:pt idx="4">
                  <c:v>22.0353165039194</c:v>
                </c:pt>
                <c:pt idx="5">
                  <c:v>17.616638714445699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C5-44FB-99CF-E1B955FF722A}"/>
            </c:ext>
          </c:extLst>
        </c:ser>
        <c:ser>
          <c:idx val="5"/>
          <c:order val="5"/>
          <c:tx>
            <c:strRef>
              <c:f>MSE!$G$33:$G$34</c:f>
              <c:strCache>
                <c:ptCount val="2"/>
                <c:pt idx="0">
                  <c:v>s4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MSE!$G$35:$G$40</c:f>
              <c:numCache>
                <c:formatCode>General</c:formatCode>
                <c:ptCount val="6"/>
                <c:pt idx="0">
                  <c:v>1.6093083150224201</c:v>
                </c:pt>
                <c:pt idx="1">
                  <c:v>4.6380656636771302</c:v>
                </c:pt>
                <c:pt idx="2">
                  <c:v>12.975027903587501</c:v>
                </c:pt>
                <c:pt idx="3">
                  <c:v>18.1057503654709</c:v>
                </c:pt>
                <c:pt idx="4">
                  <c:v>22.468657592385199</c:v>
                </c:pt>
                <c:pt idx="5">
                  <c:v>31.386305530795099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C5-44FB-99CF-E1B955FF722A}"/>
            </c:ext>
          </c:extLst>
        </c:ser>
        <c:ser>
          <c:idx val="6"/>
          <c:order val="6"/>
          <c:tx>
            <c:strRef>
              <c:f>MSE!$H$33:$H$34</c:f>
              <c:strCache>
                <c:ptCount val="2"/>
                <c:pt idx="0">
                  <c:v>s4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MSE!$H$35:$H$40</c:f>
              <c:numCache>
                <c:formatCode>General</c:formatCode>
                <c:ptCount val="6"/>
                <c:pt idx="0">
                  <c:v>1.78112985426009</c:v>
                </c:pt>
                <c:pt idx="1">
                  <c:v>4.6380656636771302</c:v>
                </c:pt>
                <c:pt idx="2">
                  <c:v>12.419218090807201</c:v>
                </c:pt>
                <c:pt idx="3">
                  <c:v>18.1057503654709</c:v>
                </c:pt>
                <c:pt idx="4">
                  <c:v>20.953354599104099</c:v>
                </c:pt>
                <c:pt idx="5">
                  <c:v>31.386305530795099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C5-44FB-99CF-E1B955FF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MSE!$B$41:$B$42</c:f>
              <c:strCache>
                <c:ptCount val="2"/>
                <c:pt idx="0">
                  <c:v>s5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MSE!$B$43:$B$48</c:f>
              <c:numCache>
                <c:formatCode>General</c:formatCode>
                <c:ptCount val="6"/>
                <c:pt idx="0">
                  <c:v>0.40470894024333798</c:v>
                </c:pt>
                <c:pt idx="1">
                  <c:v>4.08135841197352</c:v>
                </c:pt>
                <c:pt idx="2">
                  <c:v>8.9594598809809494</c:v>
                </c:pt>
                <c:pt idx="3">
                  <c:v>14.554149955769599</c:v>
                </c:pt>
                <c:pt idx="4">
                  <c:v>25.584856275144901</c:v>
                </c:pt>
                <c:pt idx="5">
                  <c:v>20.0925948818834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B4-47DD-990F-482B9A70D8BE}"/>
            </c:ext>
          </c:extLst>
        </c:ser>
        <c:ser>
          <c:idx val="1"/>
          <c:order val="1"/>
          <c:tx>
            <c:strRef>
              <c:f>MSE!$C$41:$C$42</c:f>
              <c:strCache>
                <c:ptCount val="2"/>
                <c:pt idx="0">
                  <c:v>s5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MSE!$C$43:$C$48</c:f>
              <c:numCache>
                <c:formatCode>General</c:formatCode>
                <c:ptCount val="6"/>
                <c:pt idx="0">
                  <c:v>0.56822482904666405</c:v>
                </c:pt>
                <c:pt idx="1">
                  <c:v>4.1265364910440496</c:v>
                </c:pt>
                <c:pt idx="2">
                  <c:v>9.5298808269593192</c:v>
                </c:pt>
                <c:pt idx="3">
                  <c:v>15.4177377159426</c:v>
                </c:pt>
                <c:pt idx="4">
                  <c:v>26.079781398104199</c:v>
                </c:pt>
                <c:pt idx="5">
                  <c:v>22.458345846767799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B4-47DD-990F-482B9A70D8BE}"/>
            </c:ext>
          </c:extLst>
        </c:ser>
        <c:ser>
          <c:idx val="2"/>
          <c:order val="2"/>
          <c:tx>
            <c:strRef>
              <c:f>MSE!$D$41:$D$42</c:f>
              <c:strCache>
                <c:ptCount val="2"/>
                <c:pt idx="0">
                  <c:v>s5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MSE!$D$43:$D$48</c:f>
              <c:numCache>
                <c:formatCode>General</c:formatCode>
                <c:ptCount val="6"/>
                <c:pt idx="0">
                  <c:v>0.55268327228194303</c:v>
                </c:pt>
                <c:pt idx="1">
                  <c:v>6.8880969552238698</c:v>
                </c:pt>
                <c:pt idx="2">
                  <c:v>12.643353352682499</c:v>
                </c:pt>
                <c:pt idx="3">
                  <c:v>23.475666404706601</c:v>
                </c:pt>
                <c:pt idx="4">
                  <c:v>39.974267347028501</c:v>
                </c:pt>
                <c:pt idx="5">
                  <c:v>33.5562350499928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4-47DD-990F-482B9A70D8BE}"/>
            </c:ext>
          </c:extLst>
        </c:ser>
        <c:ser>
          <c:idx val="3"/>
          <c:order val="3"/>
          <c:tx>
            <c:strRef>
              <c:f>MSE!$E$41:$E$42</c:f>
              <c:strCache>
                <c:ptCount val="2"/>
                <c:pt idx="0">
                  <c:v>s5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MSE!$E$43:$E$48</c:f>
              <c:numCache>
                <c:formatCode>General</c:formatCode>
                <c:ptCount val="6"/>
                <c:pt idx="0">
                  <c:v>0.55252698312695703</c:v>
                </c:pt>
                <c:pt idx="1">
                  <c:v>6.8836116331802302</c:v>
                </c:pt>
                <c:pt idx="2">
                  <c:v>12.619426837730799</c:v>
                </c:pt>
                <c:pt idx="3">
                  <c:v>23.3188969572922</c:v>
                </c:pt>
                <c:pt idx="4">
                  <c:v>39.758762456640397</c:v>
                </c:pt>
                <c:pt idx="5">
                  <c:v>33.117063722727899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4-47DD-990F-482B9A70D8BE}"/>
            </c:ext>
          </c:extLst>
        </c:ser>
        <c:ser>
          <c:idx val="4"/>
          <c:order val="4"/>
          <c:tx>
            <c:strRef>
              <c:f>MSE!$F$41:$F$42</c:f>
              <c:strCache>
                <c:ptCount val="2"/>
                <c:pt idx="0">
                  <c:v>s5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MSE!$F$43:$F$48</c:f>
              <c:numCache>
                <c:formatCode>General</c:formatCode>
                <c:ptCount val="6"/>
                <c:pt idx="0">
                  <c:v>0.81554624796585096</c:v>
                </c:pt>
                <c:pt idx="1">
                  <c:v>4.0817232066889702</c:v>
                </c:pt>
                <c:pt idx="2">
                  <c:v>9.5216544952677094</c:v>
                </c:pt>
                <c:pt idx="3">
                  <c:v>16.071868408323201</c:v>
                </c:pt>
                <c:pt idx="4">
                  <c:v>26.2856848216732</c:v>
                </c:pt>
                <c:pt idx="5">
                  <c:v>22.6277838286464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4-47DD-990F-482B9A70D8BE}"/>
            </c:ext>
          </c:extLst>
        </c:ser>
        <c:ser>
          <c:idx val="5"/>
          <c:order val="5"/>
          <c:tx>
            <c:strRef>
              <c:f>MSE!$G$41:$G$42</c:f>
              <c:strCache>
                <c:ptCount val="2"/>
                <c:pt idx="0">
                  <c:v>s5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MSE!$G$43:$G$48</c:f>
              <c:numCache>
                <c:formatCode>General</c:formatCode>
                <c:ptCount val="6"/>
                <c:pt idx="0">
                  <c:v>2.2459089435297201</c:v>
                </c:pt>
                <c:pt idx="1">
                  <c:v>6.8880969552238698</c:v>
                </c:pt>
                <c:pt idx="2">
                  <c:v>14.925890397830599</c:v>
                </c:pt>
                <c:pt idx="3">
                  <c:v>23.475666404706601</c:v>
                </c:pt>
                <c:pt idx="4">
                  <c:v>42.081521651000401</c:v>
                </c:pt>
                <c:pt idx="5">
                  <c:v>33.5562350499928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4-47DD-990F-482B9A70D8BE}"/>
            </c:ext>
          </c:extLst>
        </c:ser>
        <c:ser>
          <c:idx val="6"/>
          <c:order val="6"/>
          <c:tx>
            <c:strRef>
              <c:f>MSE!$H$41:$H$42</c:f>
              <c:strCache>
                <c:ptCount val="2"/>
                <c:pt idx="0">
                  <c:v>s5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MSE!$H$43:$H$48</c:f>
              <c:numCache>
                <c:formatCode>General</c:formatCode>
                <c:ptCount val="6"/>
                <c:pt idx="0">
                  <c:v>2.35243328868459</c:v>
                </c:pt>
                <c:pt idx="1">
                  <c:v>6.8880969552238698</c:v>
                </c:pt>
                <c:pt idx="2">
                  <c:v>15.043529663784099</c:v>
                </c:pt>
                <c:pt idx="3">
                  <c:v>23.475666404706601</c:v>
                </c:pt>
                <c:pt idx="4">
                  <c:v>43.0593541947269</c:v>
                </c:pt>
                <c:pt idx="5">
                  <c:v>33.5562350499928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4B4-47DD-990F-482B9A70D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KGE!$B$1:$B$2</c:f>
              <c:strCache>
                <c:ptCount val="2"/>
                <c:pt idx="0">
                  <c:v>Domain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KGE!$B$3:$B$8</c:f>
              <c:numCache>
                <c:formatCode>General</c:formatCode>
                <c:ptCount val="6"/>
                <c:pt idx="0">
                  <c:v>0.99367744327540797</c:v>
                </c:pt>
                <c:pt idx="1">
                  <c:v>0.97922219588950199</c:v>
                </c:pt>
                <c:pt idx="2">
                  <c:v>0.96217277220302599</c:v>
                </c:pt>
                <c:pt idx="3">
                  <c:v>0.95119976114718297</c:v>
                </c:pt>
                <c:pt idx="4">
                  <c:v>0.938363885022927</c:v>
                </c:pt>
                <c:pt idx="5">
                  <c:v>0.93068144122861496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BD-440A-A6ED-991F5FD505B5}"/>
            </c:ext>
          </c:extLst>
        </c:ser>
        <c:ser>
          <c:idx val="1"/>
          <c:order val="1"/>
          <c:tx>
            <c:strRef>
              <c:f>KGE!$C$1:$C$2</c:f>
              <c:strCache>
                <c:ptCount val="2"/>
                <c:pt idx="0">
                  <c:v>Domain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KGE!$C$3:$C$8</c:f>
              <c:numCache>
                <c:formatCode>General</c:formatCode>
                <c:ptCount val="6"/>
                <c:pt idx="0">
                  <c:v>0.99275015571677605</c:v>
                </c:pt>
                <c:pt idx="1">
                  <c:v>0.97688406827111496</c:v>
                </c:pt>
                <c:pt idx="2">
                  <c:v>0.95794270696109696</c:v>
                </c:pt>
                <c:pt idx="3">
                  <c:v>0.94480856988498196</c:v>
                </c:pt>
                <c:pt idx="4">
                  <c:v>0.92888052729088999</c:v>
                </c:pt>
                <c:pt idx="5">
                  <c:v>0.91734563599809205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BD-440A-A6ED-991F5FD505B5}"/>
            </c:ext>
          </c:extLst>
        </c:ser>
        <c:ser>
          <c:idx val="2"/>
          <c:order val="2"/>
          <c:tx>
            <c:strRef>
              <c:f>KGE!$D$1:$D$2</c:f>
              <c:strCache>
                <c:ptCount val="2"/>
                <c:pt idx="0">
                  <c:v>Domain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KGE!$D$3:$D$8</c:f>
              <c:numCache>
                <c:formatCode>General</c:formatCode>
                <c:ptCount val="6"/>
                <c:pt idx="0">
                  <c:v>0.99182473677062899</c:v>
                </c:pt>
                <c:pt idx="1">
                  <c:v>0.96650702982876902</c:v>
                </c:pt>
                <c:pt idx="2">
                  <c:v>0.94390538155339798</c:v>
                </c:pt>
                <c:pt idx="3">
                  <c:v>0.92037480163383201</c:v>
                </c:pt>
                <c:pt idx="4">
                  <c:v>0.90304981229970605</c:v>
                </c:pt>
                <c:pt idx="5">
                  <c:v>0.88605887887451895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BD-440A-A6ED-991F5FD505B5}"/>
            </c:ext>
          </c:extLst>
        </c:ser>
        <c:ser>
          <c:idx val="3"/>
          <c:order val="3"/>
          <c:tx>
            <c:strRef>
              <c:f>KGE!$E$1:$E$2</c:f>
              <c:strCache>
                <c:ptCount val="2"/>
                <c:pt idx="0">
                  <c:v>Domain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KGE!$E$3:$E$8</c:f>
              <c:numCache>
                <c:formatCode>General</c:formatCode>
                <c:ptCount val="6"/>
                <c:pt idx="0">
                  <c:v>0.99182510157155401</c:v>
                </c:pt>
                <c:pt idx="1">
                  <c:v>0.96629990904492902</c:v>
                </c:pt>
                <c:pt idx="2">
                  <c:v>0.943929841434755</c:v>
                </c:pt>
                <c:pt idx="3">
                  <c:v>0.92013456012665196</c:v>
                </c:pt>
                <c:pt idx="4">
                  <c:v>0.90309221666532902</c:v>
                </c:pt>
                <c:pt idx="5">
                  <c:v>0.88580415146785296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BD-440A-A6ED-991F5FD505B5}"/>
            </c:ext>
          </c:extLst>
        </c:ser>
        <c:ser>
          <c:idx val="4"/>
          <c:order val="4"/>
          <c:tx>
            <c:strRef>
              <c:f>KGE!$F$1:$F$2</c:f>
              <c:strCache>
                <c:ptCount val="2"/>
                <c:pt idx="0">
                  <c:v>Domain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KGE!$F$3:$F$8</c:f>
              <c:numCache>
                <c:formatCode>General</c:formatCode>
                <c:ptCount val="6"/>
                <c:pt idx="0">
                  <c:v>0.98931295291578603</c:v>
                </c:pt>
                <c:pt idx="1">
                  <c:v>0.96931806338644899</c:v>
                </c:pt>
                <c:pt idx="2">
                  <c:v>0.94340809820384897</c:v>
                </c:pt>
                <c:pt idx="3">
                  <c:v>0.92296695177121701</c:v>
                </c:pt>
                <c:pt idx="4">
                  <c:v>0.90206995294866898</c:v>
                </c:pt>
                <c:pt idx="5">
                  <c:v>0.88614497977499096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BD-440A-A6ED-991F5FD505B5}"/>
            </c:ext>
          </c:extLst>
        </c:ser>
        <c:ser>
          <c:idx val="5"/>
          <c:order val="5"/>
          <c:tx>
            <c:strRef>
              <c:f>KGE!$G$1:$G$2</c:f>
              <c:strCache>
                <c:ptCount val="2"/>
                <c:pt idx="0">
                  <c:v>Domain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KGE!$G$3:$G$8</c:f>
              <c:numCache>
                <c:formatCode>General</c:formatCode>
                <c:ptCount val="6"/>
                <c:pt idx="0">
                  <c:v>0.983315524737853</c:v>
                </c:pt>
                <c:pt idx="1">
                  <c:v>0.96650702982876902</c:v>
                </c:pt>
                <c:pt idx="2">
                  <c:v>0.93961014190813597</c:v>
                </c:pt>
                <c:pt idx="3">
                  <c:v>0.92037480163383201</c:v>
                </c:pt>
                <c:pt idx="4">
                  <c:v>0.89991581099351603</c:v>
                </c:pt>
                <c:pt idx="5">
                  <c:v>0.88605887887451895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BD-440A-A6ED-991F5FD505B5}"/>
            </c:ext>
          </c:extLst>
        </c:ser>
        <c:ser>
          <c:idx val="6"/>
          <c:order val="6"/>
          <c:tx>
            <c:strRef>
              <c:f>KGE!$H$1:$H$2</c:f>
              <c:strCache>
                <c:ptCount val="2"/>
                <c:pt idx="0">
                  <c:v>Domain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KGE!$H$3:$H$8</c:f>
              <c:numCache>
                <c:formatCode>General</c:formatCode>
                <c:ptCount val="6"/>
                <c:pt idx="0">
                  <c:v>0.98354310725274097</c:v>
                </c:pt>
                <c:pt idx="1">
                  <c:v>0.96650702982876902</c:v>
                </c:pt>
                <c:pt idx="2">
                  <c:v>0.94036486710480405</c:v>
                </c:pt>
                <c:pt idx="3">
                  <c:v>0.92037480163383201</c:v>
                </c:pt>
                <c:pt idx="4">
                  <c:v>0.90088838128133097</c:v>
                </c:pt>
                <c:pt idx="5">
                  <c:v>0.88605887887451895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BD-440A-A6ED-991F5FD50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KGE!$B$9:$B$10</c:f>
              <c:strCache>
                <c:ptCount val="2"/>
                <c:pt idx="0">
                  <c:v>s1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KGE!$B$11:$B$16</c:f>
              <c:numCache>
                <c:formatCode>General</c:formatCode>
                <c:ptCount val="6"/>
                <c:pt idx="0">
                  <c:v>0.99347861835639695</c:v>
                </c:pt>
                <c:pt idx="1">
                  <c:v>0.97984807489619696</c:v>
                </c:pt>
                <c:pt idx="2">
                  <c:v>0.96463461998103495</c:v>
                </c:pt>
                <c:pt idx="3">
                  <c:v>0.95481581076889399</c:v>
                </c:pt>
                <c:pt idx="4">
                  <c:v>0.941947611251721</c:v>
                </c:pt>
                <c:pt idx="5">
                  <c:v>0.93082751898223204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46-44F1-9DB3-998A4BDCE4F1}"/>
            </c:ext>
          </c:extLst>
        </c:ser>
        <c:ser>
          <c:idx val="1"/>
          <c:order val="1"/>
          <c:tx>
            <c:strRef>
              <c:f>KGE!$C$9:$C$10</c:f>
              <c:strCache>
                <c:ptCount val="2"/>
                <c:pt idx="0">
                  <c:v>s1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KGE!$C$11:$C$16</c:f>
              <c:numCache>
                <c:formatCode>General</c:formatCode>
                <c:ptCount val="6"/>
                <c:pt idx="0">
                  <c:v>0.99267510041147999</c:v>
                </c:pt>
                <c:pt idx="1">
                  <c:v>0.97803090660822201</c:v>
                </c:pt>
                <c:pt idx="2">
                  <c:v>0.96035303115236503</c:v>
                </c:pt>
                <c:pt idx="3">
                  <c:v>0.947259318059677</c:v>
                </c:pt>
                <c:pt idx="4">
                  <c:v>0.93147437461406501</c:v>
                </c:pt>
                <c:pt idx="5">
                  <c:v>0.91497223259907701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46-44F1-9DB3-998A4BDCE4F1}"/>
            </c:ext>
          </c:extLst>
        </c:ser>
        <c:ser>
          <c:idx val="2"/>
          <c:order val="2"/>
          <c:tx>
            <c:strRef>
              <c:f>KGE!$D$9:$D$10</c:f>
              <c:strCache>
                <c:ptCount val="2"/>
                <c:pt idx="0">
                  <c:v>s1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KGE!$D$11:$D$16</c:f>
              <c:numCache>
                <c:formatCode>General</c:formatCode>
                <c:ptCount val="6"/>
                <c:pt idx="0">
                  <c:v>0.99247250598762105</c:v>
                </c:pt>
                <c:pt idx="1">
                  <c:v>0.96967762113712697</c:v>
                </c:pt>
                <c:pt idx="2">
                  <c:v>0.950417338510962</c:v>
                </c:pt>
                <c:pt idx="3">
                  <c:v>0.92882484707620705</c:v>
                </c:pt>
                <c:pt idx="4">
                  <c:v>0.91202780209614098</c:v>
                </c:pt>
                <c:pt idx="5">
                  <c:v>0.89378511403316296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46-44F1-9DB3-998A4BDCE4F1}"/>
            </c:ext>
          </c:extLst>
        </c:ser>
        <c:ser>
          <c:idx val="3"/>
          <c:order val="3"/>
          <c:tx>
            <c:strRef>
              <c:f>KGE!$E$9:$E$10</c:f>
              <c:strCache>
                <c:ptCount val="2"/>
                <c:pt idx="0">
                  <c:v>s1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KGE!$E$11:$E$16</c:f>
              <c:numCache>
                <c:formatCode>General</c:formatCode>
                <c:ptCount val="6"/>
                <c:pt idx="0">
                  <c:v>0.99247221248136197</c:v>
                </c:pt>
                <c:pt idx="1">
                  <c:v>0.96966804847205401</c:v>
                </c:pt>
                <c:pt idx="2">
                  <c:v>0.95041772352989096</c:v>
                </c:pt>
                <c:pt idx="3">
                  <c:v>0.92884064903862495</c:v>
                </c:pt>
                <c:pt idx="4">
                  <c:v>0.91206710731237395</c:v>
                </c:pt>
                <c:pt idx="5">
                  <c:v>0.89374090349892898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46-44F1-9DB3-998A4BDCE4F1}"/>
            </c:ext>
          </c:extLst>
        </c:ser>
        <c:ser>
          <c:idx val="4"/>
          <c:order val="4"/>
          <c:tx>
            <c:strRef>
              <c:f>KGE!$F$9:$F$10</c:f>
              <c:strCache>
                <c:ptCount val="2"/>
                <c:pt idx="0">
                  <c:v>s1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KGE!$F$11:$F$16</c:f>
              <c:numCache>
                <c:formatCode>General</c:formatCode>
                <c:ptCount val="6"/>
                <c:pt idx="0">
                  <c:v>0.99049070026854602</c:v>
                </c:pt>
                <c:pt idx="1">
                  <c:v>0.97392636097672003</c:v>
                </c:pt>
                <c:pt idx="2">
                  <c:v>0.95230253385663599</c:v>
                </c:pt>
                <c:pt idx="3">
                  <c:v>0.933462821845503</c:v>
                </c:pt>
                <c:pt idx="4">
                  <c:v>0.91356968175962106</c:v>
                </c:pt>
                <c:pt idx="5">
                  <c:v>0.89435159158359201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46-44F1-9DB3-998A4BDCE4F1}"/>
            </c:ext>
          </c:extLst>
        </c:ser>
        <c:ser>
          <c:idx val="5"/>
          <c:order val="5"/>
          <c:tx>
            <c:strRef>
              <c:f>KGE!$G$9:$G$10</c:f>
              <c:strCache>
                <c:ptCount val="2"/>
                <c:pt idx="0">
                  <c:v>s1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KGE!$G$11:$G$16</c:f>
              <c:numCache>
                <c:formatCode>General</c:formatCode>
                <c:ptCount val="6"/>
                <c:pt idx="0">
                  <c:v>0.98500943902798099</c:v>
                </c:pt>
                <c:pt idx="1">
                  <c:v>0.96967762113712697</c:v>
                </c:pt>
                <c:pt idx="2">
                  <c:v>0.94625156642935504</c:v>
                </c:pt>
                <c:pt idx="3">
                  <c:v>0.92882484707620705</c:v>
                </c:pt>
                <c:pt idx="4">
                  <c:v>0.90878515999172504</c:v>
                </c:pt>
                <c:pt idx="5">
                  <c:v>0.89378511403316296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46-44F1-9DB3-998A4BDCE4F1}"/>
            </c:ext>
          </c:extLst>
        </c:ser>
        <c:ser>
          <c:idx val="6"/>
          <c:order val="6"/>
          <c:tx>
            <c:strRef>
              <c:f>KGE!$H$9:$H$10</c:f>
              <c:strCache>
                <c:ptCount val="2"/>
                <c:pt idx="0">
                  <c:v>s1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KGE!$H$11:$H$16</c:f>
              <c:numCache>
                <c:formatCode>General</c:formatCode>
                <c:ptCount val="6"/>
                <c:pt idx="0">
                  <c:v>0.98463260925631002</c:v>
                </c:pt>
                <c:pt idx="1">
                  <c:v>0.96967762113712697</c:v>
                </c:pt>
                <c:pt idx="2">
                  <c:v>0.94624094980887996</c:v>
                </c:pt>
                <c:pt idx="3">
                  <c:v>0.92882484707620705</c:v>
                </c:pt>
                <c:pt idx="4">
                  <c:v>0.90898781889491498</c:v>
                </c:pt>
                <c:pt idx="5">
                  <c:v>0.89378511403316296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46-44F1-9DB3-998A4BDCE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KGE!$B$17:$B$18</c:f>
              <c:strCache>
                <c:ptCount val="2"/>
                <c:pt idx="0">
                  <c:v>s2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KGE!$B$19:$B$24</c:f>
              <c:numCache>
                <c:formatCode>General</c:formatCode>
                <c:ptCount val="6"/>
                <c:pt idx="0">
                  <c:v>0.99306315592242</c:v>
                </c:pt>
                <c:pt idx="1">
                  <c:v>0.97488585656966198</c:v>
                </c:pt>
                <c:pt idx="2">
                  <c:v>0.95182565231312</c:v>
                </c:pt>
                <c:pt idx="3">
                  <c:v>0.9416596578484</c:v>
                </c:pt>
                <c:pt idx="4">
                  <c:v>0.91645699741274</c:v>
                </c:pt>
                <c:pt idx="5">
                  <c:v>0.915806882548999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1-4C0F-8E88-338BE19DDBD3}"/>
            </c:ext>
          </c:extLst>
        </c:ser>
        <c:ser>
          <c:idx val="1"/>
          <c:order val="1"/>
          <c:tx>
            <c:strRef>
              <c:f>KGE!$C$17:$C$18</c:f>
              <c:strCache>
                <c:ptCount val="2"/>
                <c:pt idx="0">
                  <c:v>s2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KGE!$C$19:$C$24</c:f>
              <c:numCache>
                <c:formatCode>General</c:formatCode>
                <c:ptCount val="6"/>
                <c:pt idx="0">
                  <c:v>0.99177855274781801</c:v>
                </c:pt>
                <c:pt idx="1">
                  <c:v>0.971106876163771</c:v>
                </c:pt>
                <c:pt idx="2">
                  <c:v>0.94697207750092505</c:v>
                </c:pt>
                <c:pt idx="3">
                  <c:v>0.93569435267188805</c:v>
                </c:pt>
                <c:pt idx="4">
                  <c:v>0.90597321580763202</c:v>
                </c:pt>
                <c:pt idx="5">
                  <c:v>0.90640261133220001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21-4C0F-8E88-338BE19DDBD3}"/>
            </c:ext>
          </c:extLst>
        </c:ser>
        <c:ser>
          <c:idx val="2"/>
          <c:order val="2"/>
          <c:tx>
            <c:strRef>
              <c:f>KGE!$D$17:$D$18</c:f>
              <c:strCache>
                <c:ptCount val="2"/>
                <c:pt idx="0">
                  <c:v>s2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KGE!$D$19:$D$24</c:f>
              <c:numCache>
                <c:formatCode>General</c:formatCode>
                <c:ptCount val="6"/>
                <c:pt idx="0">
                  <c:v>0.99103954205505096</c:v>
                </c:pt>
                <c:pt idx="1">
                  <c:v>0.95846698254691598</c:v>
                </c:pt>
                <c:pt idx="2">
                  <c:v>0.92717455302837504</c:v>
                </c:pt>
                <c:pt idx="3">
                  <c:v>0.89878993093871296</c:v>
                </c:pt>
                <c:pt idx="4">
                  <c:v>0.87763295794672702</c:v>
                </c:pt>
                <c:pt idx="5">
                  <c:v>0.86592785032071795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21-4C0F-8E88-338BE19DDBD3}"/>
            </c:ext>
          </c:extLst>
        </c:ser>
        <c:ser>
          <c:idx val="3"/>
          <c:order val="3"/>
          <c:tx>
            <c:strRef>
              <c:f>KGE!$E$17:$E$18</c:f>
              <c:strCache>
                <c:ptCount val="2"/>
                <c:pt idx="0">
                  <c:v>s2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KGE!$E$19:$E$24</c:f>
              <c:numCache>
                <c:formatCode>General</c:formatCode>
                <c:ptCount val="6"/>
                <c:pt idx="0">
                  <c:v>0.99104082756881895</c:v>
                </c:pt>
                <c:pt idx="1">
                  <c:v>0.95817097658838202</c:v>
                </c:pt>
                <c:pt idx="2">
                  <c:v>0.92722059052428496</c:v>
                </c:pt>
                <c:pt idx="3">
                  <c:v>0.89827229484238502</c:v>
                </c:pt>
                <c:pt idx="4">
                  <c:v>0.87741246584106902</c:v>
                </c:pt>
                <c:pt idx="5">
                  <c:v>0.86467154269217505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21-4C0F-8E88-338BE19DDBD3}"/>
            </c:ext>
          </c:extLst>
        </c:ser>
        <c:ser>
          <c:idx val="4"/>
          <c:order val="4"/>
          <c:tx>
            <c:strRef>
              <c:f>KGE!$F$17:$F$18</c:f>
              <c:strCache>
                <c:ptCount val="2"/>
                <c:pt idx="0">
                  <c:v>s2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KGE!$F$19:$F$24</c:f>
              <c:numCache>
                <c:formatCode>General</c:formatCode>
                <c:ptCount val="6"/>
                <c:pt idx="0">
                  <c:v>0.98817893144596802</c:v>
                </c:pt>
                <c:pt idx="1">
                  <c:v>0.96235992908537304</c:v>
                </c:pt>
                <c:pt idx="2">
                  <c:v>0.92784005941727798</c:v>
                </c:pt>
                <c:pt idx="3">
                  <c:v>0.90088757210867099</c:v>
                </c:pt>
                <c:pt idx="4">
                  <c:v>0.86882220164963497</c:v>
                </c:pt>
                <c:pt idx="5">
                  <c:v>0.86133196246063604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21-4C0F-8E88-338BE19DDBD3}"/>
            </c:ext>
          </c:extLst>
        </c:ser>
        <c:ser>
          <c:idx val="5"/>
          <c:order val="5"/>
          <c:tx>
            <c:strRef>
              <c:f>KGE!$G$17:$G$18</c:f>
              <c:strCache>
                <c:ptCount val="2"/>
                <c:pt idx="0">
                  <c:v>s2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KGE!$G$19:$G$24</c:f>
              <c:numCache>
                <c:formatCode>General</c:formatCode>
                <c:ptCount val="6"/>
                <c:pt idx="0">
                  <c:v>0.97999137293502203</c:v>
                </c:pt>
                <c:pt idx="1">
                  <c:v>0.95846698254691598</c:v>
                </c:pt>
                <c:pt idx="2">
                  <c:v>0.92222194815245295</c:v>
                </c:pt>
                <c:pt idx="3">
                  <c:v>0.89878993093871296</c:v>
                </c:pt>
                <c:pt idx="4">
                  <c:v>0.87463021310985301</c:v>
                </c:pt>
                <c:pt idx="5">
                  <c:v>0.86592785032071795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21-4C0F-8E88-338BE19DDBD3}"/>
            </c:ext>
          </c:extLst>
        </c:ser>
        <c:ser>
          <c:idx val="6"/>
          <c:order val="6"/>
          <c:tx>
            <c:strRef>
              <c:f>KGE!$H$17:$H$18</c:f>
              <c:strCache>
                <c:ptCount val="2"/>
                <c:pt idx="0">
                  <c:v>s2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KGE!$H$19:$H$24</c:f>
              <c:numCache>
                <c:formatCode>General</c:formatCode>
                <c:ptCount val="6"/>
                <c:pt idx="0">
                  <c:v>0.98037264221751197</c:v>
                </c:pt>
                <c:pt idx="1">
                  <c:v>0.95846698254691598</c:v>
                </c:pt>
                <c:pt idx="2">
                  <c:v>0.92294692105070597</c:v>
                </c:pt>
                <c:pt idx="3">
                  <c:v>0.89878993093871296</c:v>
                </c:pt>
                <c:pt idx="4">
                  <c:v>0.87705683279876701</c:v>
                </c:pt>
                <c:pt idx="5">
                  <c:v>0.86592785032071795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21-4C0F-8E88-338BE19D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KGE!$B$25:$B$26</c:f>
              <c:strCache>
                <c:ptCount val="2"/>
                <c:pt idx="0">
                  <c:v>s3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KGE!$B$27:$B$32</c:f>
              <c:numCache>
                <c:formatCode>General</c:formatCode>
                <c:ptCount val="6"/>
                <c:pt idx="0">
                  <c:v>0.99401100872021897</c:v>
                </c:pt>
                <c:pt idx="1">
                  <c:v>0.97774675135649802</c:v>
                </c:pt>
                <c:pt idx="2">
                  <c:v>0.95845642620530302</c:v>
                </c:pt>
                <c:pt idx="3">
                  <c:v>0.94362959031093396</c:v>
                </c:pt>
                <c:pt idx="4">
                  <c:v>0.93405513798335005</c:v>
                </c:pt>
                <c:pt idx="5">
                  <c:v>0.93922898711165403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A8-4DA8-A768-8A354C80A528}"/>
            </c:ext>
          </c:extLst>
        </c:ser>
        <c:ser>
          <c:idx val="1"/>
          <c:order val="1"/>
          <c:tx>
            <c:strRef>
              <c:f>KGE!$C$25:$C$26</c:f>
              <c:strCache>
                <c:ptCount val="2"/>
                <c:pt idx="0">
                  <c:v>s3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KGE!$C$27:$C$32</c:f>
              <c:numCache>
                <c:formatCode>General</c:formatCode>
                <c:ptCount val="6"/>
                <c:pt idx="0">
                  <c:v>0.99293850894425295</c:v>
                </c:pt>
                <c:pt idx="1">
                  <c:v>0.97530672521317296</c:v>
                </c:pt>
                <c:pt idx="2">
                  <c:v>0.95621302934504704</c:v>
                </c:pt>
                <c:pt idx="3">
                  <c:v>0.94182089328829999</c:v>
                </c:pt>
                <c:pt idx="4">
                  <c:v>0.93289178267109296</c:v>
                </c:pt>
                <c:pt idx="5">
                  <c:v>0.93564965685343604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A8-4DA8-A768-8A354C80A528}"/>
            </c:ext>
          </c:extLst>
        </c:ser>
        <c:ser>
          <c:idx val="2"/>
          <c:order val="2"/>
          <c:tx>
            <c:strRef>
              <c:f>KGE!$D$25:$D$26</c:f>
              <c:strCache>
                <c:ptCount val="2"/>
                <c:pt idx="0">
                  <c:v>s3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KGE!$D$27:$D$32</c:f>
              <c:numCache>
                <c:formatCode>General</c:formatCode>
                <c:ptCount val="6"/>
                <c:pt idx="0">
                  <c:v>0.99262764653362101</c:v>
                </c:pt>
                <c:pt idx="1">
                  <c:v>0.96717740763127003</c:v>
                </c:pt>
                <c:pt idx="2">
                  <c:v>0.946859805880371</c:v>
                </c:pt>
                <c:pt idx="3">
                  <c:v>0.92356811987564302</c:v>
                </c:pt>
                <c:pt idx="4">
                  <c:v>0.90748503769739697</c:v>
                </c:pt>
                <c:pt idx="5">
                  <c:v>0.89097631609035999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A8-4DA8-A768-8A354C80A528}"/>
            </c:ext>
          </c:extLst>
        </c:ser>
        <c:ser>
          <c:idx val="3"/>
          <c:order val="3"/>
          <c:tx>
            <c:strRef>
              <c:f>KGE!$E$25:$E$26</c:f>
              <c:strCache>
                <c:ptCount val="2"/>
                <c:pt idx="0">
                  <c:v>s3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KGE!$E$27:$E$32</c:f>
              <c:numCache>
                <c:formatCode>General</c:formatCode>
                <c:ptCount val="6"/>
                <c:pt idx="0">
                  <c:v>0.99262668214677297</c:v>
                </c:pt>
                <c:pt idx="1">
                  <c:v>0.967166581799765</c:v>
                </c:pt>
                <c:pt idx="2">
                  <c:v>0.94684009739776998</c:v>
                </c:pt>
                <c:pt idx="3">
                  <c:v>0.92355300949712804</c:v>
                </c:pt>
                <c:pt idx="4">
                  <c:v>0.90755647345898605</c:v>
                </c:pt>
                <c:pt idx="5">
                  <c:v>0.89121032498527997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A8-4DA8-A768-8A354C80A528}"/>
            </c:ext>
          </c:extLst>
        </c:ser>
        <c:ser>
          <c:idx val="4"/>
          <c:order val="4"/>
          <c:tx>
            <c:strRef>
              <c:f>KGE!$F$25:$F$26</c:f>
              <c:strCache>
                <c:ptCount val="2"/>
                <c:pt idx="0">
                  <c:v>s3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KGE!$F$27:$F$32</c:f>
              <c:numCache>
                <c:formatCode>General</c:formatCode>
                <c:ptCount val="6"/>
                <c:pt idx="0">
                  <c:v>0.99040519633428203</c:v>
                </c:pt>
                <c:pt idx="1">
                  <c:v>0.97095197561380697</c:v>
                </c:pt>
                <c:pt idx="2">
                  <c:v>0.94982463785816196</c:v>
                </c:pt>
                <c:pt idx="3">
                  <c:v>0.93283811914328596</c:v>
                </c:pt>
                <c:pt idx="4">
                  <c:v>0.92393061543061095</c:v>
                </c:pt>
                <c:pt idx="5">
                  <c:v>0.91284851156914604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A8-4DA8-A768-8A354C80A528}"/>
            </c:ext>
          </c:extLst>
        </c:ser>
        <c:ser>
          <c:idx val="5"/>
          <c:order val="5"/>
          <c:tx>
            <c:strRef>
              <c:f>KGE!$G$25:$G$26</c:f>
              <c:strCache>
                <c:ptCount val="2"/>
                <c:pt idx="0">
                  <c:v>s3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KGE!$G$27:$G$32</c:f>
              <c:numCache>
                <c:formatCode>General</c:formatCode>
                <c:ptCount val="6"/>
                <c:pt idx="0">
                  <c:v>0.98417702328678902</c:v>
                </c:pt>
                <c:pt idx="1">
                  <c:v>0.96717740763127003</c:v>
                </c:pt>
                <c:pt idx="2">
                  <c:v>0.94261829553903398</c:v>
                </c:pt>
                <c:pt idx="3">
                  <c:v>0.92356811987564302</c:v>
                </c:pt>
                <c:pt idx="4">
                  <c:v>0.90417258081167995</c:v>
                </c:pt>
                <c:pt idx="5">
                  <c:v>0.89097631609035999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A8-4DA8-A768-8A354C80A528}"/>
            </c:ext>
          </c:extLst>
        </c:ser>
        <c:ser>
          <c:idx val="6"/>
          <c:order val="6"/>
          <c:tx>
            <c:strRef>
              <c:f>KGE!$H$25:$H$26</c:f>
              <c:strCache>
                <c:ptCount val="2"/>
                <c:pt idx="0">
                  <c:v>s3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KGE!$H$27:$H$32</c:f>
              <c:numCache>
                <c:formatCode>General</c:formatCode>
                <c:ptCount val="6"/>
                <c:pt idx="0">
                  <c:v>0.98365776721817799</c:v>
                </c:pt>
                <c:pt idx="1">
                  <c:v>0.96717740763127003</c:v>
                </c:pt>
                <c:pt idx="2">
                  <c:v>0.94172630727168005</c:v>
                </c:pt>
                <c:pt idx="3">
                  <c:v>0.92356811987564302</c:v>
                </c:pt>
                <c:pt idx="4">
                  <c:v>0.90333640640141499</c:v>
                </c:pt>
                <c:pt idx="5">
                  <c:v>0.89097631609035999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A8-4DA8-A768-8A354C80A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KGE!$B$33:$B$34</c:f>
              <c:strCache>
                <c:ptCount val="2"/>
                <c:pt idx="0">
                  <c:v>s4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KGE!$B$35:$B$40</c:f>
              <c:numCache>
                <c:formatCode>General</c:formatCode>
                <c:ptCount val="6"/>
                <c:pt idx="0">
                  <c:v>0.99343510286320302</c:v>
                </c:pt>
                <c:pt idx="1">
                  <c:v>0.97859443584305295</c:v>
                </c:pt>
                <c:pt idx="2">
                  <c:v>0.96677463732767799</c:v>
                </c:pt>
                <c:pt idx="3">
                  <c:v>0.95478900124378097</c:v>
                </c:pt>
                <c:pt idx="4">
                  <c:v>0.94767756772908296</c:v>
                </c:pt>
                <c:pt idx="5">
                  <c:v>0.94832672097759796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E6-492F-859E-16DAD366A3DF}"/>
            </c:ext>
          </c:extLst>
        </c:ser>
        <c:ser>
          <c:idx val="1"/>
          <c:order val="1"/>
          <c:tx>
            <c:strRef>
              <c:f>KGE!$C$33:$C$34</c:f>
              <c:strCache>
                <c:ptCount val="2"/>
                <c:pt idx="0">
                  <c:v>s4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KGE!$C$35:$C$40</c:f>
              <c:numCache>
                <c:formatCode>General</c:formatCode>
                <c:ptCount val="6"/>
                <c:pt idx="0">
                  <c:v>0.99263237645811297</c:v>
                </c:pt>
                <c:pt idx="1">
                  <c:v>0.97774330116649</c:v>
                </c:pt>
                <c:pt idx="2">
                  <c:v>0.96677169671261898</c:v>
                </c:pt>
                <c:pt idx="3">
                  <c:v>0.95769859577114502</c:v>
                </c:pt>
                <c:pt idx="4">
                  <c:v>0.94380331673306705</c:v>
                </c:pt>
                <c:pt idx="5">
                  <c:v>0.94444763747454097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E6-492F-859E-16DAD366A3DF}"/>
            </c:ext>
          </c:extLst>
        </c:ser>
        <c:ser>
          <c:idx val="2"/>
          <c:order val="2"/>
          <c:tx>
            <c:strRef>
              <c:f>KGE!$D$33:$D$34</c:f>
              <c:strCache>
                <c:ptCount val="2"/>
                <c:pt idx="0">
                  <c:v>s4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KGE!$D$35:$D$40</c:f>
              <c:numCache>
                <c:formatCode>General</c:formatCode>
                <c:ptCount val="6"/>
                <c:pt idx="0">
                  <c:v>0.99249308744394804</c:v>
                </c:pt>
                <c:pt idx="1">
                  <c:v>0.96828090695067304</c:v>
                </c:pt>
                <c:pt idx="2">
                  <c:v>0.94766390695067404</c:v>
                </c:pt>
                <c:pt idx="3">
                  <c:v>0.91062724215246704</c:v>
                </c:pt>
                <c:pt idx="4">
                  <c:v>0.90727585106383002</c:v>
                </c:pt>
                <c:pt idx="5">
                  <c:v>0.87276326987682196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E6-492F-859E-16DAD366A3DF}"/>
            </c:ext>
          </c:extLst>
        </c:ser>
        <c:ser>
          <c:idx val="3"/>
          <c:order val="3"/>
          <c:tx>
            <c:strRef>
              <c:f>KGE!$E$33:$E$34</c:f>
              <c:strCache>
                <c:ptCount val="2"/>
                <c:pt idx="0">
                  <c:v>s4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KGE!$E$35:$E$40</c:f>
              <c:numCache>
                <c:formatCode>General</c:formatCode>
                <c:ptCount val="6"/>
                <c:pt idx="0">
                  <c:v>0.99249381950672699</c:v>
                </c:pt>
                <c:pt idx="1">
                  <c:v>0.96827296748878899</c:v>
                </c:pt>
                <c:pt idx="2">
                  <c:v>0.94760459304932798</c:v>
                </c:pt>
                <c:pt idx="3">
                  <c:v>0.91066462331838505</c:v>
                </c:pt>
                <c:pt idx="4">
                  <c:v>0.90728071668532795</c:v>
                </c:pt>
                <c:pt idx="5">
                  <c:v>0.87203834938409897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E6-492F-859E-16DAD366A3DF}"/>
            </c:ext>
          </c:extLst>
        </c:ser>
        <c:ser>
          <c:idx val="4"/>
          <c:order val="4"/>
          <c:tx>
            <c:strRef>
              <c:f>KGE!$F$33:$F$34</c:f>
              <c:strCache>
                <c:ptCount val="2"/>
                <c:pt idx="0">
                  <c:v>s4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KGE!$F$35:$F$40</c:f>
              <c:numCache>
                <c:formatCode>General</c:formatCode>
                <c:ptCount val="6"/>
                <c:pt idx="0">
                  <c:v>0.99125899775784798</c:v>
                </c:pt>
                <c:pt idx="1">
                  <c:v>0.97361890481523095</c:v>
                </c:pt>
                <c:pt idx="2">
                  <c:v>0.95940376259798499</c:v>
                </c:pt>
                <c:pt idx="3">
                  <c:v>0.94312030347144504</c:v>
                </c:pt>
                <c:pt idx="4">
                  <c:v>0.917825341545353</c:v>
                </c:pt>
                <c:pt idx="5">
                  <c:v>0.93826701679731195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E6-492F-859E-16DAD366A3DF}"/>
            </c:ext>
          </c:extLst>
        </c:ser>
        <c:ser>
          <c:idx val="5"/>
          <c:order val="5"/>
          <c:tx>
            <c:strRef>
              <c:f>KGE!$G$33:$G$34</c:f>
              <c:strCache>
                <c:ptCount val="2"/>
                <c:pt idx="0">
                  <c:v>s4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KGE!$G$35:$G$40</c:f>
              <c:numCache>
                <c:formatCode>General</c:formatCode>
                <c:ptCount val="6"/>
                <c:pt idx="0">
                  <c:v>0.98350488565022398</c:v>
                </c:pt>
                <c:pt idx="1">
                  <c:v>0.96828090695067304</c:v>
                </c:pt>
                <c:pt idx="2">
                  <c:v>0.94098106278026905</c:v>
                </c:pt>
                <c:pt idx="3">
                  <c:v>0.91062724215246704</c:v>
                </c:pt>
                <c:pt idx="4">
                  <c:v>0.90515536954087406</c:v>
                </c:pt>
                <c:pt idx="5">
                  <c:v>0.87276326987682196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E6-492F-859E-16DAD366A3DF}"/>
            </c:ext>
          </c:extLst>
        </c:ser>
        <c:ser>
          <c:idx val="6"/>
          <c:order val="6"/>
          <c:tx>
            <c:strRef>
              <c:f>KGE!$H$33:$H$34</c:f>
              <c:strCache>
                <c:ptCount val="2"/>
                <c:pt idx="0">
                  <c:v>s4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KGE!$H$35:$H$40</c:f>
              <c:numCache>
                <c:formatCode>General</c:formatCode>
                <c:ptCount val="6"/>
                <c:pt idx="0">
                  <c:v>0.98318577690582898</c:v>
                </c:pt>
                <c:pt idx="1">
                  <c:v>0.96828090695067304</c:v>
                </c:pt>
                <c:pt idx="2">
                  <c:v>0.94172809529148005</c:v>
                </c:pt>
                <c:pt idx="3">
                  <c:v>0.91062724215246704</c:v>
                </c:pt>
                <c:pt idx="4">
                  <c:v>0.90505583090705499</c:v>
                </c:pt>
                <c:pt idx="5">
                  <c:v>0.87276326987682196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E6-492F-859E-16DAD366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KGE!$B$41:$B$42</c:f>
              <c:strCache>
                <c:ptCount val="2"/>
                <c:pt idx="0">
                  <c:v>s5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KGE!$B$43:$B$48</c:f>
              <c:numCache>
                <c:formatCode>General</c:formatCode>
                <c:ptCount val="6"/>
                <c:pt idx="0">
                  <c:v>0.98883510565223198</c:v>
                </c:pt>
                <c:pt idx="1">
                  <c:v>0.95585000177505197</c:v>
                </c:pt>
                <c:pt idx="2">
                  <c:v>0.90306637883724905</c:v>
                </c:pt>
                <c:pt idx="3">
                  <c:v>0.847597589148813</c:v>
                </c:pt>
                <c:pt idx="4">
                  <c:v>0.79838124960505596</c:v>
                </c:pt>
                <c:pt idx="5">
                  <c:v>0.79899572984836198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3C-48BD-86CD-7AE6EAFDF816}"/>
            </c:ext>
          </c:extLst>
        </c:ser>
        <c:ser>
          <c:idx val="1"/>
          <c:order val="1"/>
          <c:tx>
            <c:strRef>
              <c:f>KGE!$C$41:$C$42</c:f>
              <c:strCache>
                <c:ptCount val="2"/>
                <c:pt idx="0">
                  <c:v>s5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KGE!$C$43:$C$48</c:f>
              <c:numCache>
                <c:formatCode>General</c:formatCode>
                <c:ptCount val="6"/>
                <c:pt idx="0">
                  <c:v>0.98642292037578005</c:v>
                </c:pt>
                <c:pt idx="1">
                  <c:v>0.94716680167823197</c:v>
                </c:pt>
                <c:pt idx="2">
                  <c:v>0.88641534453781401</c:v>
                </c:pt>
                <c:pt idx="3">
                  <c:v>0.84093903499115397</c:v>
                </c:pt>
                <c:pt idx="4">
                  <c:v>0.78470326040020999</c:v>
                </c:pt>
                <c:pt idx="5">
                  <c:v>0.79206011851556202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3C-48BD-86CD-7AE6EAFDF816}"/>
            </c:ext>
          </c:extLst>
        </c:ser>
        <c:ser>
          <c:idx val="2"/>
          <c:order val="2"/>
          <c:tx>
            <c:strRef>
              <c:f>KGE!$D$41:$D$42</c:f>
              <c:strCache>
                <c:ptCount val="2"/>
                <c:pt idx="0">
                  <c:v>s5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KGE!$D$43:$D$48</c:f>
              <c:numCache>
                <c:formatCode>General</c:formatCode>
                <c:ptCount val="6"/>
                <c:pt idx="0">
                  <c:v>0.98568537107088094</c:v>
                </c:pt>
                <c:pt idx="1">
                  <c:v>0.93453894245120395</c:v>
                </c:pt>
                <c:pt idx="2">
                  <c:v>0.88803349516270902</c:v>
                </c:pt>
                <c:pt idx="3">
                  <c:v>0.82508451249273795</c:v>
                </c:pt>
                <c:pt idx="4">
                  <c:v>0.77695419633110796</c:v>
                </c:pt>
                <c:pt idx="5">
                  <c:v>0.76450389409044905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3C-48BD-86CD-7AE6EAFDF816}"/>
            </c:ext>
          </c:extLst>
        </c:ser>
        <c:ser>
          <c:idx val="3"/>
          <c:order val="3"/>
          <c:tx>
            <c:strRef>
              <c:f>KGE!$E$41:$E$42</c:f>
              <c:strCache>
                <c:ptCount val="2"/>
                <c:pt idx="0">
                  <c:v>s5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KGE!$E$43:$E$48</c:f>
              <c:numCache>
                <c:formatCode>General</c:formatCode>
                <c:ptCount val="6"/>
                <c:pt idx="0">
                  <c:v>0.98568751911823904</c:v>
                </c:pt>
                <c:pt idx="1">
                  <c:v>0.93456128860505305</c:v>
                </c:pt>
                <c:pt idx="2">
                  <c:v>0.88813514878334598</c:v>
                </c:pt>
                <c:pt idx="3">
                  <c:v>0.82531954895409898</c:v>
                </c:pt>
                <c:pt idx="4">
                  <c:v>0.777361253335352</c:v>
                </c:pt>
                <c:pt idx="5">
                  <c:v>0.76513966088715202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3C-48BD-86CD-7AE6EAFDF816}"/>
            </c:ext>
          </c:extLst>
        </c:ser>
        <c:ser>
          <c:idx val="4"/>
          <c:order val="4"/>
          <c:tx>
            <c:strRef>
              <c:f>KGE!$F$41:$F$42</c:f>
              <c:strCache>
                <c:ptCount val="2"/>
                <c:pt idx="0">
                  <c:v>s5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KGE!$F$43:$F$48</c:f>
              <c:numCache>
                <c:formatCode>General</c:formatCode>
                <c:ptCount val="6"/>
                <c:pt idx="0">
                  <c:v>0.98130461131118096</c:v>
                </c:pt>
                <c:pt idx="1">
                  <c:v>0.93842049498327995</c:v>
                </c:pt>
                <c:pt idx="2">
                  <c:v>0.87823295281233105</c:v>
                </c:pt>
                <c:pt idx="3">
                  <c:v>0.84456646155924897</c:v>
                </c:pt>
                <c:pt idx="4">
                  <c:v>0.799061190949373</c:v>
                </c:pt>
                <c:pt idx="5">
                  <c:v>0.80634225795006698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3C-48BD-86CD-7AE6EAFDF816}"/>
            </c:ext>
          </c:extLst>
        </c:ser>
        <c:ser>
          <c:idx val="5"/>
          <c:order val="5"/>
          <c:tx>
            <c:strRef>
              <c:f>KGE!$G$41:$G$42</c:f>
              <c:strCache>
                <c:ptCount val="2"/>
                <c:pt idx="0">
                  <c:v>s5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KGE!$G$43:$G$48</c:f>
              <c:numCache>
                <c:formatCode>General</c:formatCode>
                <c:ptCount val="6"/>
                <c:pt idx="0">
                  <c:v>0.97028322207101803</c:v>
                </c:pt>
                <c:pt idx="1">
                  <c:v>0.93453894245120395</c:v>
                </c:pt>
                <c:pt idx="2">
                  <c:v>0.880651380826736</c:v>
                </c:pt>
                <c:pt idx="3">
                  <c:v>0.82508451249273795</c:v>
                </c:pt>
                <c:pt idx="4">
                  <c:v>0.77012381322013201</c:v>
                </c:pt>
                <c:pt idx="5">
                  <c:v>0.76450389409044905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3C-48BD-86CD-7AE6EAFDF816}"/>
            </c:ext>
          </c:extLst>
        </c:ser>
        <c:ser>
          <c:idx val="6"/>
          <c:order val="6"/>
          <c:tx>
            <c:strRef>
              <c:f>KGE!$H$41:$H$42</c:f>
              <c:strCache>
                <c:ptCount val="2"/>
                <c:pt idx="0">
                  <c:v>s5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KGE!$A$43:$A$48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KGE!$H$43:$H$48</c:f>
              <c:numCache>
                <c:formatCode>General</c:formatCode>
                <c:ptCount val="6"/>
                <c:pt idx="0">
                  <c:v>0.96967539702969396</c:v>
                </c:pt>
                <c:pt idx="1">
                  <c:v>0.93453894245120395</c:v>
                </c:pt>
                <c:pt idx="2">
                  <c:v>0.87761135082749497</c:v>
                </c:pt>
                <c:pt idx="3">
                  <c:v>0.82508451249273795</c:v>
                </c:pt>
                <c:pt idx="4">
                  <c:v>0.76609342568609096</c:v>
                </c:pt>
                <c:pt idx="5">
                  <c:v>0.76450389409044905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3C-48BD-86CD-7AE6EAFD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NSE!$B$1:$B$2</c:f>
              <c:strCache>
                <c:ptCount val="2"/>
                <c:pt idx="0">
                  <c:v>Domain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NSE!$B$3:$B$8</c:f>
              <c:numCache>
                <c:formatCode>General</c:formatCode>
                <c:ptCount val="6"/>
                <c:pt idx="0">
                  <c:v>0.95414952387154095</c:v>
                </c:pt>
                <c:pt idx="1">
                  <c:v>0.56677229623122405</c:v>
                </c:pt>
                <c:pt idx="2">
                  <c:v>-0.118578793725159</c:v>
                </c:pt>
                <c:pt idx="3">
                  <c:v>-0.50836865850300705</c:v>
                </c:pt>
                <c:pt idx="4">
                  <c:v>-1.1329135420427401</c:v>
                </c:pt>
                <c:pt idx="5">
                  <c:v>-0.57987447740887799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E3-48CA-9544-2B4E26D4D74C}"/>
            </c:ext>
          </c:extLst>
        </c:ser>
        <c:ser>
          <c:idx val="1"/>
          <c:order val="1"/>
          <c:tx>
            <c:strRef>
              <c:f>NSE!$C$1:$C$2</c:f>
              <c:strCache>
                <c:ptCount val="2"/>
                <c:pt idx="0">
                  <c:v>Domain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NSE!$C$3:$C$8</c:f>
              <c:numCache>
                <c:formatCode>General</c:formatCode>
                <c:ptCount val="6"/>
                <c:pt idx="0">
                  <c:v>0.93528212213224704</c:v>
                </c:pt>
                <c:pt idx="1">
                  <c:v>0.53244142043913001</c:v>
                </c:pt>
                <c:pt idx="2">
                  <c:v>-0.15786383070443699</c:v>
                </c:pt>
                <c:pt idx="3">
                  <c:v>-0.52777507645195398</c:v>
                </c:pt>
                <c:pt idx="4">
                  <c:v>-1.2097417068033101</c:v>
                </c:pt>
                <c:pt idx="5">
                  <c:v>-0.65776350986362597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E3-48CA-9544-2B4E26D4D74C}"/>
            </c:ext>
          </c:extLst>
        </c:ser>
        <c:ser>
          <c:idx val="2"/>
          <c:order val="2"/>
          <c:tx>
            <c:strRef>
              <c:f>NSE!$D$1:$D$2</c:f>
              <c:strCache>
                <c:ptCount val="2"/>
                <c:pt idx="0">
                  <c:v>Domain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NSE!$D$3:$D$8</c:f>
              <c:numCache>
                <c:formatCode>General</c:formatCode>
                <c:ptCount val="6"/>
                <c:pt idx="0">
                  <c:v>0.93098483458312697</c:v>
                </c:pt>
                <c:pt idx="1">
                  <c:v>0.16269180329312999</c:v>
                </c:pt>
                <c:pt idx="2">
                  <c:v>-0.73978422487113804</c:v>
                </c:pt>
                <c:pt idx="3">
                  <c:v>-1.93083548320374</c:v>
                </c:pt>
                <c:pt idx="4">
                  <c:v>-2.3163906999408099</c:v>
                </c:pt>
                <c:pt idx="5">
                  <c:v>-2.5204579667966001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E3-48CA-9544-2B4E26D4D74C}"/>
            </c:ext>
          </c:extLst>
        </c:ser>
        <c:ser>
          <c:idx val="3"/>
          <c:order val="3"/>
          <c:tx>
            <c:strRef>
              <c:f>NSE!$E$1:$E$2</c:f>
              <c:strCache>
                <c:ptCount val="2"/>
                <c:pt idx="0">
                  <c:v>Domain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NSE!$E$3:$E$8</c:f>
              <c:numCache>
                <c:formatCode>General</c:formatCode>
                <c:ptCount val="6"/>
                <c:pt idx="0">
                  <c:v>0.93098013408298796</c:v>
                </c:pt>
                <c:pt idx="1">
                  <c:v>0.16213404269614701</c:v>
                </c:pt>
                <c:pt idx="2">
                  <c:v>-0.74040658588951702</c:v>
                </c:pt>
                <c:pt idx="3">
                  <c:v>-1.93409142443004</c:v>
                </c:pt>
                <c:pt idx="4">
                  <c:v>-2.3031257212369902</c:v>
                </c:pt>
                <c:pt idx="5">
                  <c:v>-2.5326800554918099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E3-48CA-9544-2B4E26D4D74C}"/>
            </c:ext>
          </c:extLst>
        </c:ser>
        <c:ser>
          <c:idx val="4"/>
          <c:order val="4"/>
          <c:tx>
            <c:strRef>
              <c:f>NSE!$F$1:$F$2</c:f>
              <c:strCache>
                <c:ptCount val="2"/>
                <c:pt idx="0">
                  <c:v>Domain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NSE!$F$3:$F$8</c:f>
              <c:numCache>
                <c:formatCode>General</c:formatCode>
                <c:ptCount val="6"/>
                <c:pt idx="0">
                  <c:v>0.89528065771294296</c:v>
                </c:pt>
                <c:pt idx="1">
                  <c:v>0.442534273573019</c:v>
                </c:pt>
                <c:pt idx="2">
                  <c:v>-0.41819504684706099</c:v>
                </c:pt>
                <c:pt idx="3">
                  <c:v>-1.3039525636911899</c:v>
                </c:pt>
                <c:pt idx="4">
                  <c:v>-2.0850244875753798</c:v>
                </c:pt>
                <c:pt idx="5">
                  <c:v>-2.2400183601775598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E3-48CA-9544-2B4E26D4D74C}"/>
            </c:ext>
          </c:extLst>
        </c:ser>
        <c:ser>
          <c:idx val="5"/>
          <c:order val="5"/>
          <c:tx>
            <c:strRef>
              <c:f>NSE!$G$1:$G$2</c:f>
              <c:strCache>
                <c:ptCount val="2"/>
                <c:pt idx="0">
                  <c:v>Domain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NSE!$G$3:$G$8</c:f>
              <c:numCache>
                <c:formatCode>General</c:formatCode>
                <c:ptCount val="6"/>
                <c:pt idx="0">
                  <c:v>0.72552526615382196</c:v>
                </c:pt>
                <c:pt idx="1">
                  <c:v>0.16269180329312999</c:v>
                </c:pt>
                <c:pt idx="2">
                  <c:v>-0.95199563426100597</c:v>
                </c:pt>
                <c:pt idx="3">
                  <c:v>-1.93083548320374</c:v>
                </c:pt>
                <c:pt idx="4">
                  <c:v>-2.4106870070023101</c:v>
                </c:pt>
                <c:pt idx="5">
                  <c:v>-2.5204579667966001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E3-48CA-9544-2B4E26D4D74C}"/>
            </c:ext>
          </c:extLst>
        </c:ser>
        <c:ser>
          <c:idx val="6"/>
          <c:order val="6"/>
          <c:tx>
            <c:strRef>
              <c:f>NSE!$H$1:$H$2</c:f>
              <c:strCache>
                <c:ptCount val="2"/>
                <c:pt idx="0">
                  <c:v>Domain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NSE!$A$3:$A$8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NSE!$H$3:$H$8</c:f>
              <c:numCache>
                <c:formatCode>General</c:formatCode>
                <c:ptCount val="6"/>
                <c:pt idx="0">
                  <c:v>0.70456643689708098</c:v>
                </c:pt>
                <c:pt idx="1">
                  <c:v>0.16269180329312999</c:v>
                </c:pt>
                <c:pt idx="2">
                  <c:v>-0.93102558465943297</c:v>
                </c:pt>
                <c:pt idx="3">
                  <c:v>-1.93083548320374</c:v>
                </c:pt>
                <c:pt idx="4">
                  <c:v>-2.4329845718407799</c:v>
                </c:pt>
                <c:pt idx="5">
                  <c:v>-2.5204579667966001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E3-48CA-9544-2B4E26D4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NSE!$B$9:$B$10</c:f>
              <c:strCache>
                <c:ptCount val="2"/>
                <c:pt idx="0">
                  <c:v>s1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NSE!$B$11:$B$16</c:f>
              <c:numCache>
                <c:formatCode>General</c:formatCode>
                <c:ptCount val="6"/>
                <c:pt idx="0">
                  <c:v>0.96673026366442005</c:v>
                </c:pt>
                <c:pt idx="1">
                  <c:v>0.63504738501844404</c:v>
                </c:pt>
                <c:pt idx="2">
                  <c:v>-3.3984832523903601E-2</c:v>
                </c:pt>
                <c:pt idx="3">
                  <c:v>-0.241444646084709</c:v>
                </c:pt>
                <c:pt idx="4">
                  <c:v>-0.98164974520423098</c:v>
                </c:pt>
                <c:pt idx="5">
                  <c:v>-0.52419162442453804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6E-4EBB-AF6C-9753EED56AAB}"/>
            </c:ext>
          </c:extLst>
        </c:ser>
        <c:ser>
          <c:idx val="1"/>
          <c:order val="1"/>
          <c:tx>
            <c:strRef>
              <c:f>NSE!$C$9:$C$10</c:f>
              <c:strCache>
                <c:ptCount val="2"/>
                <c:pt idx="0">
                  <c:v>s1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NSE!$C$11:$C$16</c:f>
              <c:numCache>
                <c:formatCode>General</c:formatCode>
                <c:ptCount val="6"/>
                <c:pt idx="0">
                  <c:v>0.95131378463825</c:v>
                </c:pt>
                <c:pt idx="1">
                  <c:v>0.60627827583772997</c:v>
                </c:pt>
                <c:pt idx="2">
                  <c:v>-3.1785583738048899E-2</c:v>
                </c:pt>
                <c:pt idx="3">
                  <c:v>-0.20855186141371701</c:v>
                </c:pt>
                <c:pt idx="4">
                  <c:v>-0.937674345054896</c:v>
                </c:pt>
                <c:pt idx="5">
                  <c:v>-0.53163358287362295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6E-4EBB-AF6C-9753EED56AAB}"/>
            </c:ext>
          </c:extLst>
        </c:ser>
        <c:ser>
          <c:idx val="2"/>
          <c:order val="2"/>
          <c:tx>
            <c:strRef>
              <c:f>NSE!$D$9:$D$10</c:f>
              <c:strCache>
                <c:ptCount val="2"/>
                <c:pt idx="0">
                  <c:v>s1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NSE!$D$11:$D$16</c:f>
              <c:numCache>
                <c:formatCode>General</c:formatCode>
                <c:ptCount val="6"/>
                <c:pt idx="0">
                  <c:v>0.94378254003796402</c:v>
                </c:pt>
                <c:pt idx="1">
                  <c:v>0.28175217973025102</c:v>
                </c:pt>
                <c:pt idx="2">
                  <c:v>-0.568666394329569</c:v>
                </c:pt>
                <c:pt idx="3">
                  <c:v>-1.53509290276917</c:v>
                </c:pt>
                <c:pt idx="4">
                  <c:v>-2.1178535288276499</c:v>
                </c:pt>
                <c:pt idx="5">
                  <c:v>-2.1778184199072199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6E-4EBB-AF6C-9753EED56AAB}"/>
            </c:ext>
          </c:extLst>
        </c:ser>
        <c:ser>
          <c:idx val="3"/>
          <c:order val="3"/>
          <c:tx>
            <c:strRef>
              <c:f>NSE!$E$9:$E$10</c:f>
              <c:strCache>
                <c:ptCount val="2"/>
                <c:pt idx="0">
                  <c:v>s1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NSE!$E$11:$E$16</c:f>
              <c:numCache>
                <c:formatCode>General</c:formatCode>
                <c:ptCount val="6"/>
                <c:pt idx="0">
                  <c:v>0.94375571766686295</c:v>
                </c:pt>
                <c:pt idx="1">
                  <c:v>0.28057079588384598</c:v>
                </c:pt>
                <c:pt idx="2">
                  <c:v>-0.57245408765655603</c:v>
                </c:pt>
                <c:pt idx="3">
                  <c:v>-1.5394867339418099</c:v>
                </c:pt>
                <c:pt idx="4">
                  <c:v>-2.1097409435627799</c:v>
                </c:pt>
                <c:pt idx="5">
                  <c:v>-2.1777041559771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6E-4EBB-AF6C-9753EED56AAB}"/>
            </c:ext>
          </c:extLst>
        </c:ser>
        <c:ser>
          <c:idx val="4"/>
          <c:order val="4"/>
          <c:tx>
            <c:strRef>
              <c:f>NSE!$F$9:$F$10</c:f>
              <c:strCache>
                <c:ptCount val="2"/>
                <c:pt idx="0">
                  <c:v>s1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NSE!$F$11:$F$16</c:f>
              <c:numCache>
                <c:formatCode>General</c:formatCode>
                <c:ptCount val="6"/>
                <c:pt idx="0">
                  <c:v>0.91171790755535198</c:v>
                </c:pt>
                <c:pt idx="1">
                  <c:v>0.50072994201770304</c:v>
                </c:pt>
                <c:pt idx="2">
                  <c:v>-0.191855218060626</c:v>
                </c:pt>
                <c:pt idx="3">
                  <c:v>-0.86191273184896899</c:v>
                </c:pt>
                <c:pt idx="4">
                  <c:v>-1.78434130562964</c:v>
                </c:pt>
                <c:pt idx="5">
                  <c:v>-1.7456946438944401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6E-4EBB-AF6C-9753EED56AAB}"/>
            </c:ext>
          </c:extLst>
        </c:ser>
        <c:ser>
          <c:idx val="5"/>
          <c:order val="5"/>
          <c:tx>
            <c:strRef>
              <c:f>NSE!$G$9:$G$10</c:f>
              <c:strCache>
                <c:ptCount val="2"/>
                <c:pt idx="0">
                  <c:v>s1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NSE!$G$11:$G$16</c:f>
              <c:numCache>
                <c:formatCode>General</c:formatCode>
                <c:ptCount val="6"/>
                <c:pt idx="0">
                  <c:v>0.77975537598852596</c:v>
                </c:pt>
                <c:pt idx="1">
                  <c:v>0.28175217973025102</c:v>
                </c:pt>
                <c:pt idx="2">
                  <c:v>-0.75614511499813297</c:v>
                </c:pt>
                <c:pt idx="3">
                  <c:v>-1.53509290276917</c:v>
                </c:pt>
                <c:pt idx="4">
                  <c:v>-2.2078372045921801</c:v>
                </c:pt>
                <c:pt idx="5">
                  <c:v>-2.1778184199072199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6E-4EBB-AF6C-9753EED56AAB}"/>
            </c:ext>
          </c:extLst>
        </c:ser>
        <c:ser>
          <c:idx val="6"/>
          <c:order val="6"/>
          <c:tx>
            <c:strRef>
              <c:f>NSE!$H$9:$H$10</c:f>
              <c:strCache>
                <c:ptCount val="2"/>
                <c:pt idx="0">
                  <c:v>s1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NSE!$A$11:$A$16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NSE!$H$11:$H$16</c:f>
              <c:numCache>
                <c:formatCode>General</c:formatCode>
                <c:ptCount val="6"/>
                <c:pt idx="0">
                  <c:v>0.75161316198530603</c:v>
                </c:pt>
                <c:pt idx="1">
                  <c:v>0.28175217973025102</c:v>
                </c:pt>
                <c:pt idx="2">
                  <c:v>-0.73235643798917904</c:v>
                </c:pt>
                <c:pt idx="3">
                  <c:v>-1.53509290276917</c:v>
                </c:pt>
                <c:pt idx="4">
                  <c:v>-2.3244498887544598</c:v>
                </c:pt>
                <c:pt idx="5">
                  <c:v>-2.1778184199072199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B6E-4EBB-AF6C-9753EED56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NSE!$B$17:$B$18</c:f>
              <c:strCache>
                <c:ptCount val="2"/>
                <c:pt idx="0">
                  <c:v>s2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NSE!$B$19:$B$24</c:f>
              <c:numCache>
                <c:formatCode>General</c:formatCode>
                <c:ptCount val="6"/>
                <c:pt idx="0">
                  <c:v>0.93057373480083405</c:v>
                </c:pt>
                <c:pt idx="1">
                  <c:v>0.52596677531066405</c:v>
                </c:pt>
                <c:pt idx="2">
                  <c:v>8.9983290382171593E-2</c:v>
                </c:pt>
                <c:pt idx="3">
                  <c:v>5.54415275552394E-2</c:v>
                </c:pt>
                <c:pt idx="4">
                  <c:v>0.17928474660105601</c:v>
                </c:pt>
                <c:pt idx="5">
                  <c:v>0.21739260670579999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17-44BB-8234-D9AA73367D4D}"/>
            </c:ext>
          </c:extLst>
        </c:ser>
        <c:ser>
          <c:idx val="1"/>
          <c:order val="1"/>
          <c:tx>
            <c:strRef>
              <c:f>NSE!$C$17:$C$18</c:f>
              <c:strCache>
                <c:ptCount val="2"/>
                <c:pt idx="0">
                  <c:v>s2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NSE!$C$19:$C$24</c:f>
              <c:numCache>
                <c:formatCode>General</c:formatCode>
                <c:ptCount val="6"/>
                <c:pt idx="0">
                  <c:v>0.90737540214136203</c:v>
                </c:pt>
                <c:pt idx="1">
                  <c:v>0.49030420108293599</c:v>
                </c:pt>
                <c:pt idx="2">
                  <c:v>-2.2179994088912601E-2</c:v>
                </c:pt>
                <c:pt idx="3">
                  <c:v>-5.4527833480059303E-2</c:v>
                </c:pt>
                <c:pt idx="4">
                  <c:v>0.108751271053166</c:v>
                </c:pt>
                <c:pt idx="5">
                  <c:v>0.12560928400159199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17-44BB-8234-D9AA73367D4D}"/>
            </c:ext>
          </c:extLst>
        </c:ser>
        <c:ser>
          <c:idx val="2"/>
          <c:order val="2"/>
          <c:tx>
            <c:strRef>
              <c:f>NSE!$D$17:$D$18</c:f>
              <c:strCache>
                <c:ptCount val="2"/>
                <c:pt idx="0">
                  <c:v>s2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NSE!$D$19:$D$24</c:f>
              <c:numCache>
                <c:formatCode>General</c:formatCode>
                <c:ptCount val="6"/>
                <c:pt idx="0">
                  <c:v>0.91026673222962196</c:v>
                </c:pt>
                <c:pt idx="1">
                  <c:v>0.20336960069229401</c:v>
                </c:pt>
                <c:pt idx="2">
                  <c:v>-0.49463102209062298</c:v>
                </c:pt>
                <c:pt idx="3">
                  <c:v>-2.0650904038141298</c:v>
                </c:pt>
                <c:pt idx="4">
                  <c:v>-1.7558003898533301</c:v>
                </c:pt>
                <c:pt idx="5">
                  <c:v>-1.5653993372510999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17-44BB-8234-D9AA73367D4D}"/>
            </c:ext>
          </c:extLst>
        </c:ser>
        <c:ser>
          <c:idx val="3"/>
          <c:order val="3"/>
          <c:tx>
            <c:strRef>
              <c:f>NSE!$E$17:$E$18</c:f>
              <c:strCache>
                <c:ptCount val="2"/>
                <c:pt idx="0">
                  <c:v>s2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NSE!$E$19:$E$24</c:f>
              <c:numCache>
                <c:formatCode>General</c:formatCode>
                <c:ptCount val="6"/>
                <c:pt idx="0">
                  <c:v>0.91028717531042003</c:v>
                </c:pt>
                <c:pt idx="1">
                  <c:v>0.205306543018386</c:v>
                </c:pt>
                <c:pt idx="2">
                  <c:v>-0.486263063837517</c:v>
                </c:pt>
                <c:pt idx="3">
                  <c:v>-2.0695159814266599</c:v>
                </c:pt>
                <c:pt idx="4">
                  <c:v>-1.7410841859847299</c:v>
                </c:pt>
                <c:pt idx="5">
                  <c:v>-1.66203785795182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17-44BB-8234-D9AA73367D4D}"/>
            </c:ext>
          </c:extLst>
        </c:ser>
        <c:ser>
          <c:idx val="4"/>
          <c:order val="4"/>
          <c:tx>
            <c:strRef>
              <c:f>NSE!$F$17:$F$18</c:f>
              <c:strCache>
                <c:ptCount val="2"/>
                <c:pt idx="0">
                  <c:v>s2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NSE!$F$19:$F$24</c:f>
              <c:numCache>
                <c:formatCode>General</c:formatCode>
                <c:ptCount val="6"/>
                <c:pt idx="0">
                  <c:v>0.87098335370004898</c:v>
                </c:pt>
                <c:pt idx="1">
                  <c:v>0.43720844528369202</c:v>
                </c:pt>
                <c:pt idx="2">
                  <c:v>-0.36397089755887901</c:v>
                </c:pt>
                <c:pt idx="3">
                  <c:v>-1.20101819132333</c:v>
                </c:pt>
                <c:pt idx="4">
                  <c:v>-2.2525352426394298</c:v>
                </c:pt>
                <c:pt idx="5">
                  <c:v>-2.3672469256370001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17-44BB-8234-D9AA73367D4D}"/>
            </c:ext>
          </c:extLst>
        </c:ser>
        <c:ser>
          <c:idx val="5"/>
          <c:order val="5"/>
          <c:tx>
            <c:strRef>
              <c:f>NSE!$G$17:$G$18</c:f>
              <c:strCache>
                <c:ptCount val="2"/>
                <c:pt idx="0">
                  <c:v>s2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NSE!$G$19:$G$24</c:f>
              <c:numCache>
                <c:formatCode>General</c:formatCode>
                <c:ptCount val="6"/>
                <c:pt idx="0">
                  <c:v>0.693283470757596</c:v>
                </c:pt>
                <c:pt idx="1">
                  <c:v>0.20336960069229401</c:v>
                </c:pt>
                <c:pt idx="2">
                  <c:v>-0.65329994542746395</c:v>
                </c:pt>
                <c:pt idx="3">
                  <c:v>-2.0650904038141298</c:v>
                </c:pt>
                <c:pt idx="4">
                  <c:v>-1.78901554407362</c:v>
                </c:pt>
                <c:pt idx="5">
                  <c:v>-1.5653993372510999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17-44BB-8234-D9AA73367D4D}"/>
            </c:ext>
          </c:extLst>
        </c:ser>
        <c:ser>
          <c:idx val="6"/>
          <c:order val="6"/>
          <c:tx>
            <c:strRef>
              <c:f>NSE!$H$17:$H$18</c:f>
              <c:strCache>
                <c:ptCount val="2"/>
                <c:pt idx="0">
                  <c:v>s2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NSE!$A$19:$A$24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NSE!$H$19:$H$24</c:f>
              <c:numCache>
                <c:formatCode>General</c:formatCode>
                <c:ptCount val="6"/>
                <c:pt idx="0">
                  <c:v>0.70528054218841296</c:v>
                </c:pt>
                <c:pt idx="1">
                  <c:v>0.20336960069229401</c:v>
                </c:pt>
                <c:pt idx="2">
                  <c:v>-0.65409167806517898</c:v>
                </c:pt>
                <c:pt idx="3">
                  <c:v>-2.0650904038141298</c:v>
                </c:pt>
                <c:pt idx="4">
                  <c:v>-1.7120397124259401</c:v>
                </c:pt>
                <c:pt idx="5">
                  <c:v>-1.5653993372510999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17-44BB-8234-D9AA73367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NSE!$B$25:$B$26</c:f>
              <c:strCache>
                <c:ptCount val="2"/>
                <c:pt idx="0">
                  <c:v>s3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NSE!$B$27:$B$32</c:f>
              <c:numCache>
                <c:formatCode>General</c:formatCode>
                <c:ptCount val="6"/>
                <c:pt idx="0">
                  <c:v>0.92220016409883798</c:v>
                </c:pt>
                <c:pt idx="1">
                  <c:v>0.17934248481432</c:v>
                </c:pt>
                <c:pt idx="2">
                  <c:v>-1.29748552990314</c:v>
                </c:pt>
                <c:pt idx="3">
                  <c:v>-2.7410018439889701</c:v>
                </c:pt>
                <c:pt idx="4">
                  <c:v>-3.9850646298027299</c:v>
                </c:pt>
                <c:pt idx="5">
                  <c:v>-2.10377880567993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55-4054-899A-A2F7FD5915EE}"/>
            </c:ext>
          </c:extLst>
        </c:ser>
        <c:ser>
          <c:idx val="1"/>
          <c:order val="1"/>
          <c:tx>
            <c:strRef>
              <c:f>NSE!$C$25:$C$26</c:f>
              <c:strCache>
                <c:ptCount val="2"/>
                <c:pt idx="0">
                  <c:v>s3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NSE!$C$27:$C$32</c:f>
              <c:numCache>
                <c:formatCode>General</c:formatCode>
                <c:ptCount val="6"/>
                <c:pt idx="0">
                  <c:v>0.886739502292064</c:v>
                </c:pt>
                <c:pt idx="1">
                  <c:v>0.105755595025013</c:v>
                </c:pt>
                <c:pt idx="2">
                  <c:v>-1.42168731120153</c:v>
                </c:pt>
                <c:pt idx="3">
                  <c:v>-2.6373016206669302</c:v>
                </c:pt>
                <c:pt idx="4">
                  <c:v>-4.2640205588633</c:v>
                </c:pt>
                <c:pt idx="5">
                  <c:v>-2.4317976152941698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55-4054-899A-A2F7FD5915EE}"/>
            </c:ext>
          </c:extLst>
        </c:ser>
        <c:ser>
          <c:idx val="2"/>
          <c:order val="2"/>
          <c:tx>
            <c:strRef>
              <c:f>NSE!$D$25:$D$26</c:f>
              <c:strCache>
                <c:ptCount val="2"/>
                <c:pt idx="0">
                  <c:v>s3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NSE!$D$27:$D$32</c:f>
              <c:numCache>
                <c:formatCode>General</c:formatCode>
                <c:ptCount val="6"/>
                <c:pt idx="0">
                  <c:v>0.89353981633739499</c:v>
                </c:pt>
                <c:pt idx="1">
                  <c:v>-0.50022154897855997</c:v>
                </c:pt>
                <c:pt idx="2">
                  <c:v>-2.0903646928354198</c:v>
                </c:pt>
                <c:pt idx="3">
                  <c:v>-4.0746360034845397</c:v>
                </c:pt>
                <c:pt idx="4">
                  <c:v>-4.1588619698759999</c:v>
                </c:pt>
                <c:pt idx="5">
                  <c:v>-4.9356931140946703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55-4054-899A-A2F7FD5915EE}"/>
            </c:ext>
          </c:extLst>
        </c:ser>
        <c:ser>
          <c:idx val="3"/>
          <c:order val="3"/>
          <c:tx>
            <c:strRef>
              <c:f>NSE!$E$25:$E$26</c:f>
              <c:strCache>
                <c:ptCount val="2"/>
                <c:pt idx="0">
                  <c:v>s3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NSE!$E$27:$E$32</c:f>
              <c:numCache>
                <c:formatCode>General</c:formatCode>
                <c:ptCount val="6"/>
                <c:pt idx="0">
                  <c:v>0.89352826368390204</c:v>
                </c:pt>
                <c:pt idx="1">
                  <c:v>-0.50121349211549104</c:v>
                </c:pt>
                <c:pt idx="2">
                  <c:v>-2.0935336991551199</c:v>
                </c:pt>
                <c:pt idx="3">
                  <c:v>-4.0642832440216203</c:v>
                </c:pt>
                <c:pt idx="4">
                  <c:v>-4.1298361016810903</c:v>
                </c:pt>
                <c:pt idx="5">
                  <c:v>-4.8691180840347901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55-4054-899A-A2F7FD5915EE}"/>
            </c:ext>
          </c:extLst>
        </c:ser>
        <c:ser>
          <c:idx val="4"/>
          <c:order val="4"/>
          <c:tx>
            <c:strRef>
              <c:f>NSE!$F$25:$F$26</c:f>
              <c:strCache>
                <c:ptCount val="2"/>
                <c:pt idx="0">
                  <c:v>s3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NSE!$F$27:$F$32</c:f>
              <c:numCache>
                <c:formatCode>General</c:formatCode>
                <c:ptCount val="6"/>
                <c:pt idx="0">
                  <c:v>0.82956433466149704</c:v>
                </c:pt>
                <c:pt idx="1">
                  <c:v>7.1985962390784294E-2</c:v>
                </c:pt>
                <c:pt idx="2">
                  <c:v>-1.4082864266697701</c:v>
                </c:pt>
                <c:pt idx="3">
                  <c:v>-2.5548129773203399</c:v>
                </c:pt>
                <c:pt idx="4">
                  <c:v>-3.2752488796041099</c:v>
                </c:pt>
                <c:pt idx="5">
                  <c:v>-3.5626367865359199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55-4054-899A-A2F7FD5915EE}"/>
            </c:ext>
          </c:extLst>
        </c:ser>
        <c:ser>
          <c:idx val="5"/>
          <c:order val="5"/>
          <c:tx>
            <c:strRef>
              <c:f>NSE!$G$25:$G$26</c:f>
              <c:strCache>
                <c:ptCount val="2"/>
                <c:pt idx="0">
                  <c:v>s3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NSE!$G$27:$G$32</c:f>
              <c:numCache>
                <c:formatCode>General</c:formatCode>
                <c:ptCount val="6"/>
                <c:pt idx="0">
                  <c:v>0.54799132774760695</c:v>
                </c:pt>
                <c:pt idx="1">
                  <c:v>-0.50022154897855997</c:v>
                </c:pt>
                <c:pt idx="2">
                  <c:v>-2.3874448261237098</c:v>
                </c:pt>
                <c:pt idx="3">
                  <c:v>-4.0746360034845397</c:v>
                </c:pt>
                <c:pt idx="4">
                  <c:v>-4.2863624560365601</c:v>
                </c:pt>
                <c:pt idx="5">
                  <c:v>-4.9356931140946703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55-4054-899A-A2F7FD5915EE}"/>
            </c:ext>
          </c:extLst>
        </c:ser>
        <c:ser>
          <c:idx val="6"/>
          <c:order val="6"/>
          <c:tx>
            <c:strRef>
              <c:f>NSE!$H$25:$H$26</c:f>
              <c:strCache>
                <c:ptCount val="2"/>
                <c:pt idx="0">
                  <c:v>s3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NSE!$A$27:$A$32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NSE!$H$27:$H$32</c:f>
              <c:numCache>
                <c:formatCode>General</c:formatCode>
                <c:ptCount val="6"/>
                <c:pt idx="0">
                  <c:v>0.398354690745225</c:v>
                </c:pt>
                <c:pt idx="1">
                  <c:v>-0.50022154897855997</c:v>
                </c:pt>
                <c:pt idx="2">
                  <c:v>-2.66359883622594</c:v>
                </c:pt>
                <c:pt idx="3">
                  <c:v>-4.0746360034845397</c:v>
                </c:pt>
                <c:pt idx="4">
                  <c:v>-4.47830068228338</c:v>
                </c:pt>
                <c:pt idx="5">
                  <c:v>-4.9356931140946703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55-4054-899A-A2F7FD59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NSE!$B$33:$B$34</c:f>
              <c:strCache>
                <c:ptCount val="2"/>
                <c:pt idx="0">
                  <c:v>s4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NSE!$B$35:$B$40</c:f>
              <c:numCache>
                <c:formatCode>General</c:formatCode>
                <c:ptCount val="6"/>
                <c:pt idx="0">
                  <c:v>0.99377759172852698</c:v>
                </c:pt>
                <c:pt idx="1">
                  <c:v>0.93798876033934298</c:v>
                </c:pt>
                <c:pt idx="2">
                  <c:v>0.86535847295864299</c:v>
                </c:pt>
                <c:pt idx="3">
                  <c:v>0.77551972512437795</c:v>
                </c:pt>
                <c:pt idx="4">
                  <c:v>0.50405806374502005</c:v>
                </c:pt>
                <c:pt idx="5">
                  <c:v>0.55169747861507201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2-4948-A130-5874978BA07D}"/>
            </c:ext>
          </c:extLst>
        </c:ser>
        <c:ser>
          <c:idx val="1"/>
          <c:order val="1"/>
          <c:tx>
            <c:strRef>
              <c:f>NSE!$C$33:$C$34</c:f>
              <c:strCache>
                <c:ptCount val="2"/>
                <c:pt idx="0">
                  <c:v>s4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NSE!$C$35:$C$40</c:f>
              <c:numCache>
                <c:formatCode>General</c:formatCode>
                <c:ptCount val="6"/>
                <c:pt idx="0">
                  <c:v>0.99194161611876996</c:v>
                </c:pt>
                <c:pt idx="1">
                  <c:v>0.94502306362672395</c:v>
                </c:pt>
                <c:pt idx="2">
                  <c:v>0.87555334888653302</c:v>
                </c:pt>
                <c:pt idx="3">
                  <c:v>0.76425166169154202</c:v>
                </c:pt>
                <c:pt idx="4">
                  <c:v>0.47005723505976099</c:v>
                </c:pt>
                <c:pt idx="5">
                  <c:v>0.54529247657841096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D2-4948-A130-5874978BA07D}"/>
            </c:ext>
          </c:extLst>
        </c:ser>
        <c:ser>
          <c:idx val="2"/>
          <c:order val="2"/>
          <c:tx>
            <c:strRef>
              <c:f>NSE!$D$33:$D$34</c:f>
              <c:strCache>
                <c:ptCount val="2"/>
                <c:pt idx="0">
                  <c:v>s4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NSE!$D$35:$D$40</c:f>
              <c:numCache>
                <c:formatCode>General</c:formatCode>
                <c:ptCount val="6"/>
                <c:pt idx="0">
                  <c:v>0.99185078475336397</c:v>
                </c:pt>
                <c:pt idx="1">
                  <c:v>0.88421355156950698</c:v>
                </c:pt>
                <c:pt idx="2">
                  <c:v>0.73390558856502297</c:v>
                </c:pt>
                <c:pt idx="3">
                  <c:v>0.49847639461883397</c:v>
                </c:pt>
                <c:pt idx="4">
                  <c:v>0.31911768980963001</c:v>
                </c:pt>
                <c:pt idx="5">
                  <c:v>0.22794183202687601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D2-4948-A130-5874978BA07D}"/>
            </c:ext>
          </c:extLst>
        </c:ser>
        <c:ser>
          <c:idx val="3"/>
          <c:order val="3"/>
          <c:tx>
            <c:strRef>
              <c:f>NSE!$E$33:$E$34</c:f>
              <c:strCache>
                <c:ptCount val="2"/>
                <c:pt idx="0">
                  <c:v>s4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NSE!$E$35:$E$40</c:f>
              <c:numCache>
                <c:formatCode>General</c:formatCode>
                <c:ptCount val="6"/>
                <c:pt idx="0">
                  <c:v>0.99185629708520195</c:v>
                </c:pt>
                <c:pt idx="1">
                  <c:v>0.88405535650224298</c:v>
                </c:pt>
                <c:pt idx="2">
                  <c:v>0.73350257286995602</c:v>
                </c:pt>
                <c:pt idx="3">
                  <c:v>0.49346453363228698</c:v>
                </c:pt>
                <c:pt idx="4">
                  <c:v>0.31321891489361697</c:v>
                </c:pt>
                <c:pt idx="5">
                  <c:v>0.213403801791713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D2-4948-A130-5874978BA07D}"/>
            </c:ext>
          </c:extLst>
        </c:ser>
        <c:ser>
          <c:idx val="4"/>
          <c:order val="4"/>
          <c:tx>
            <c:strRef>
              <c:f>NSE!$F$33:$F$34</c:f>
              <c:strCache>
                <c:ptCount val="2"/>
                <c:pt idx="0">
                  <c:v>s4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NSE!$F$35:$F$40</c:f>
              <c:numCache>
                <c:formatCode>General</c:formatCode>
                <c:ptCount val="6"/>
                <c:pt idx="0">
                  <c:v>0.98790989013453001</c:v>
                </c:pt>
                <c:pt idx="1">
                  <c:v>0.93806480627099698</c:v>
                </c:pt>
                <c:pt idx="2">
                  <c:v>0.87100039417693198</c:v>
                </c:pt>
                <c:pt idx="3">
                  <c:v>0.70644743225083995</c:v>
                </c:pt>
                <c:pt idx="4">
                  <c:v>0.324232771556551</c:v>
                </c:pt>
                <c:pt idx="5">
                  <c:v>0.49311894288913799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D2-4948-A130-5874978BA07D}"/>
            </c:ext>
          </c:extLst>
        </c:ser>
        <c:ser>
          <c:idx val="5"/>
          <c:order val="5"/>
          <c:tx>
            <c:strRef>
              <c:f>NSE!$G$33:$G$34</c:f>
              <c:strCache>
                <c:ptCount val="2"/>
                <c:pt idx="0">
                  <c:v>s4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NSE!$G$35:$G$40</c:f>
              <c:numCache>
                <c:formatCode>General</c:formatCode>
                <c:ptCount val="6"/>
                <c:pt idx="0">
                  <c:v>0.95956765470852001</c:v>
                </c:pt>
                <c:pt idx="1">
                  <c:v>0.88421355156950698</c:v>
                </c:pt>
                <c:pt idx="2">
                  <c:v>0.64876013677129996</c:v>
                </c:pt>
                <c:pt idx="3">
                  <c:v>0.49847639461883397</c:v>
                </c:pt>
                <c:pt idx="4">
                  <c:v>0.28447684770436699</c:v>
                </c:pt>
                <c:pt idx="5">
                  <c:v>0.22794183202687601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D2-4948-A130-5874978BA07D}"/>
            </c:ext>
          </c:extLst>
        </c:ser>
        <c:ser>
          <c:idx val="6"/>
          <c:order val="6"/>
          <c:tx>
            <c:strRef>
              <c:f>NSE!$H$33:$H$34</c:f>
              <c:strCache>
                <c:ptCount val="2"/>
                <c:pt idx="0">
                  <c:v>s4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NSE!$A$35:$A$40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NSE!$H$35:$H$40</c:f>
              <c:numCache>
                <c:formatCode>General</c:formatCode>
                <c:ptCount val="6"/>
                <c:pt idx="0">
                  <c:v>0.95497639125560496</c:v>
                </c:pt>
                <c:pt idx="1">
                  <c:v>0.88421355156950698</c:v>
                </c:pt>
                <c:pt idx="2">
                  <c:v>0.64405714237668099</c:v>
                </c:pt>
                <c:pt idx="3">
                  <c:v>0.49847639461883397</c:v>
                </c:pt>
                <c:pt idx="4">
                  <c:v>0.32648410078387502</c:v>
                </c:pt>
                <c:pt idx="5">
                  <c:v>0.22794183202687601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D2-4948-A130-5874978BA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NSE!$B$41:$B$42</c:f>
              <c:strCache>
                <c:ptCount val="2"/>
                <c:pt idx="0">
                  <c:v>s5</c:v>
                </c:pt>
                <c:pt idx="1">
                  <c:v>bic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NSE!$B$43:$B$48</c:f>
              <c:numCache>
                <c:formatCode>General</c:formatCode>
                <c:ptCount val="6"/>
                <c:pt idx="0">
                  <c:v>0.80166464792853698</c:v>
                </c:pt>
                <c:pt idx="1">
                  <c:v>-1.15158606858157</c:v>
                </c:pt>
                <c:pt idx="2">
                  <c:v>-4.75140955393588</c:v>
                </c:pt>
                <c:pt idx="3">
                  <c:v>-8.9769759406329896</c:v>
                </c:pt>
                <c:pt idx="4">
                  <c:v>-15.7020678185887</c:v>
                </c:pt>
                <c:pt idx="5">
                  <c:v>-11.513189203910599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8-4594-A8DD-D89D4F06545D}"/>
            </c:ext>
          </c:extLst>
        </c:ser>
        <c:ser>
          <c:idx val="1"/>
          <c:order val="1"/>
          <c:tx>
            <c:strRef>
              <c:f>NSE!$C$41:$C$42</c:f>
              <c:strCache>
                <c:ptCount val="2"/>
                <c:pt idx="0">
                  <c:v>s5</c:v>
                </c:pt>
                <c:pt idx="1">
                  <c:v>bil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NSE!$C$43:$C$48</c:f>
              <c:numCache>
                <c:formatCode>General</c:formatCode>
                <c:ptCount val="6"/>
                <c:pt idx="0">
                  <c:v>0.71455750408131702</c:v>
                </c:pt>
                <c:pt idx="1">
                  <c:v>-1.3516087803776</c:v>
                </c:pt>
                <c:pt idx="2">
                  <c:v>-5.26562142239752</c:v>
                </c:pt>
                <c:pt idx="3">
                  <c:v>-10.045331136229599</c:v>
                </c:pt>
                <c:pt idx="4">
                  <c:v>-18.335437711427002</c:v>
                </c:pt>
                <c:pt idx="5">
                  <c:v>-13.168334936153199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8-4594-A8DD-D89D4F06545D}"/>
            </c:ext>
          </c:extLst>
        </c:ser>
        <c:ser>
          <c:idx val="2"/>
          <c:order val="2"/>
          <c:tx>
            <c:strRef>
              <c:f>NSE!$D$41:$D$42</c:f>
              <c:strCache>
                <c:ptCount val="2"/>
                <c:pt idx="0">
                  <c:v>s5</c:v>
                </c:pt>
                <c:pt idx="1">
                  <c:v>con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NSE!$D$43:$D$48</c:f>
              <c:numCache>
                <c:formatCode>General</c:formatCode>
                <c:ptCount val="6"/>
                <c:pt idx="0">
                  <c:v>0.74991933882160799</c:v>
                </c:pt>
                <c:pt idx="1">
                  <c:v>-2.68270064781861</c:v>
                </c:pt>
                <c:pt idx="2">
                  <c:v>-6.0189516045147604</c:v>
                </c:pt>
                <c:pt idx="3">
                  <c:v>-12.663833548373001</c:v>
                </c:pt>
                <c:pt idx="4">
                  <c:v>-13.820898198908401</c:v>
                </c:pt>
                <c:pt idx="5">
                  <c:v>-13.075046888888901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8-4594-A8DD-D89D4F06545D}"/>
            </c:ext>
          </c:extLst>
        </c:ser>
        <c:ser>
          <c:idx val="3"/>
          <c:order val="3"/>
          <c:tx>
            <c:strRef>
              <c:f>NSE!$E$41:$E$42</c:f>
              <c:strCache>
                <c:ptCount val="2"/>
                <c:pt idx="0">
                  <c:v>s5</c:v>
                </c:pt>
                <c:pt idx="1">
                  <c:v>con2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NSE!$E$43:$E$48</c:f>
              <c:numCache>
                <c:formatCode>General</c:formatCode>
                <c:ptCount val="6"/>
                <c:pt idx="0">
                  <c:v>0.74997708327664003</c:v>
                </c:pt>
                <c:pt idx="1">
                  <c:v>-2.68167290169345</c:v>
                </c:pt>
                <c:pt idx="2">
                  <c:v>-6.0057053025505498</c:v>
                </c:pt>
                <c:pt idx="3">
                  <c:v>-12.5758144134224</c:v>
                </c:pt>
                <c:pt idx="4">
                  <c:v>-13.6958085027289</c:v>
                </c:pt>
                <c:pt idx="5">
                  <c:v>-12.931419771131299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F8-4594-A8DD-D89D4F06545D}"/>
            </c:ext>
          </c:extLst>
        </c:ser>
        <c:ser>
          <c:idx val="4"/>
          <c:order val="4"/>
          <c:tx>
            <c:strRef>
              <c:f>NSE!$F$41:$F$42</c:f>
              <c:strCache>
                <c:ptCount val="2"/>
                <c:pt idx="0">
                  <c:v>s5</c:v>
                </c:pt>
                <c:pt idx="1">
                  <c:v>dis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NSE!$F$43:$F$48</c:f>
              <c:numCache>
                <c:formatCode>General</c:formatCode>
                <c:ptCount val="6"/>
                <c:pt idx="0">
                  <c:v>0.625529115246099</c:v>
                </c:pt>
                <c:pt idx="1">
                  <c:v>-1.0472753868896401</c:v>
                </c:pt>
                <c:pt idx="2">
                  <c:v>-4.28389817130879</c:v>
                </c:pt>
                <c:pt idx="3">
                  <c:v>-7.37279885137142</c:v>
                </c:pt>
                <c:pt idx="4">
                  <c:v>-9.0420656927622094</c:v>
                </c:pt>
                <c:pt idx="5">
                  <c:v>-10.7142458503286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F8-4594-A8DD-D89D4F06545D}"/>
            </c:ext>
          </c:extLst>
        </c:ser>
        <c:ser>
          <c:idx val="5"/>
          <c:order val="5"/>
          <c:tx>
            <c:strRef>
              <c:f>NSE!$G$41:$G$42</c:f>
              <c:strCache>
                <c:ptCount val="2"/>
                <c:pt idx="0">
                  <c:v>s5</c:v>
                </c:pt>
                <c:pt idx="1">
                  <c:v>laf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NSE!$G$43:$G$48</c:f>
              <c:numCache>
                <c:formatCode>General</c:formatCode>
                <c:ptCount val="6"/>
                <c:pt idx="0">
                  <c:v>-0.13028757273098401</c:v>
                </c:pt>
                <c:pt idx="1">
                  <c:v>-2.68270064781861</c:v>
                </c:pt>
                <c:pt idx="2">
                  <c:v>-6.9659255790090597</c:v>
                </c:pt>
                <c:pt idx="3">
                  <c:v>-12.663833548373001</c:v>
                </c:pt>
                <c:pt idx="4">
                  <c:v>-14.278551247574301</c:v>
                </c:pt>
                <c:pt idx="5">
                  <c:v>-13.075046888888901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F8-4594-A8DD-D89D4F06545D}"/>
            </c:ext>
          </c:extLst>
        </c:ser>
        <c:ser>
          <c:idx val="6"/>
          <c:order val="6"/>
          <c:tx>
            <c:strRef>
              <c:f>NSE!$H$41:$H$42</c:f>
              <c:strCache>
                <c:ptCount val="2"/>
                <c:pt idx="0">
                  <c:v>s5</c:v>
                </c:pt>
                <c:pt idx="1">
                  <c:v>nn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NSE!$A$43:$A$48</c:f>
              <c:numCache>
                <c:formatCode>General</c:formatCode>
                <c:ptCount val="6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NSE!$H$43:$H$48</c:f>
              <c:numCache>
                <c:formatCode>General</c:formatCode>
                <c:ptCount val="6"/>
                <c:pt idx="0">
                  <c:v>-0.32239898826025698</c:v>
                </c:pt>
                <c:pt idx="1">
                  <c:v>-2.68270064781861</c:v>
                </c:pt>
                <c:pt idx="2">
                  <c:v>-7.5365832987922596</c:v>
                </c:pt>
                <c:pt idx="3">
                  <c:v>-12.663833548373001</c:v>
                </c:pt>
                <c:pt idx="4">
                  <c:v>-14.6432234104225</c:v>
                </c:pt>
                <c:pt idx="5">
                  <c:v>-13.075046888888901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4F8-4594-A8DD-D89D4F06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280624"/>
        <c:axId val="1521604144"/>
      </c:scatterChart>
      <c:valAx>
        <c:axId val="15112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1604144"/>
        <c:crosses val="autoZero"/>
        <c:crossBetween val="midCat"/>
      </c:valAx>
      <c:valAx>
        <c:axId val="1521604144"/>
        <c:scaling>
          <c:orientation val="minMax"/>
          <c:max val="1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128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0</xdr:row>
      <xdr:rowOff>31750</xdr:rowOff>
    </xdr:from>
    <xdr:to>
      <xdr:col>17</xdr:col>
      <xdr:colOff>95250</xdr:colOff>
      <xdr:row>15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EC77D2-3A42-4FC8-87E4-1B34D9133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42333</xdr:colOff>
      <xdr:row>17</xdr:row>
      <xdr:rowOff>0</xdr:rowOff>
    </xdr:from>
    <xdr:to>
      <xdr:col>17</xdr:col>
      <xdr:colOff>42333</xdr:colOff>
      <xdr:row>32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6C3E47-CEC2-4EB1-98F9-75CD47DC7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63500</xdr:colOff>
      <xdr:row>35</xdr:row>
      <xdr:rowOff>0</xdr:rowOff>
    </xdr:from>
    <xdr:to>
      <xdr:col>17</xdr:col>
      <xdr:colOff>63500</xdr:colOff>
      <xdr:row>50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25B17C0-2B79-4949-92D4-102C5162A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63500</xdr:colOff>
      <xdr:row>53</xdr:row>
      <xdr:rowOff>0</xdr:rowOff>
    </xdr:from>
    <xdr:to>
      <xdr:col>17</xdr:col>
      <xdr:colOff>63500</xdr:colOff>
      <xdr:row>68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B5FD1E3-BEF7-4A3F-AE4B-12B5080D1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74084</xdr:colOff>
      <xdr:row>71</xdr:row>
      <xdr:rowOff>10584</xdr:rowOff>
    </xdr:from>
    <xdr:to>
      <xdr:col>17</xdr:col>
      <xdr:colOff>74084</xdr:colOff>
      <xdr:row>86</xdr:row>
      <xdr:rowOff>86784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B8D1E58-5806-4540-B647-057E0763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17</xdr:col>
      <xdr:colOff>0</xdr:colOff>
      <xdr:row>105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C7B6C00-0BDF-4600-B263-277EA0A9E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17</xdr:col>
      <xdr:colOff>0</xdr:colOff>
      <xdr:row>15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8BCDAE2-3B97-4692-9339-79F50E0F7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17</xdr:col>
      <xdr:colOff>0</xdr:colOff>
      <xdr:row>31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55CC0CF-D77A-4F4E-9BD6-B6361AB31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32</xdr:row>
      <xdr:rowOff>0</xdr:rowOff>
    </xdr:from>
    <xdr:to>
      <xdr:col>17</xdr:col>
      <xdr:colOff>57150</xdr:colOff>
      <xdr:row>47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F021197-8C76-47BE-8674-820E9A7B4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48</xdr:row>
      <xdr:rowOff>0</xdr:rowOff>
    </xdr:from>
    <xdr:to>
      <xdr:col>17</xdr:col>
      <xdr:colOff>0</xdr:colOff>
      <xdr:row>63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E88809C-05D0-4A05-B00E-8CB2C40B6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64</xdr:row>
      <xdr:rowOff>0</xdr:rowOff>
    </xdr:from>
    <xdr:to>
      <xdr:col>17</xdr:col>
      <xdr:colOff>0</xdr:colOff>
      <xdr:row>79</xdr:row>
      <xdr:rowOff>76200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0BC1EB9-5F0D-4BF4-A272-B897C7DB1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80</xdr:row>
      <xdr:rowOff>0</xdr:rowOff>
    </xdr:from>
    <xdr:to>
      <xdr:col>17</xdr:col>
      <xdr:colOff>0</xdr:colOff>
      <xdr:row>95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0EC95CB-8C30-48A8-9E1D-BB3CA04D3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17</xdr:col>
      <xdr:colOff>0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A79EEB-5430-4037-A994-D1626615D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17</xdr:col>
      <xdr:colOff>0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7CD12E-C89F-4528-B7CA-083702ED9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17</xdr:col>
      <xdr:colOff>0</xdr:colOff>
      <xdr:row>47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A54DCA-661F-4EC0-9CC0-B39D690D7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48</xdr:row>
      <xdr:rowOff>0</xdr:rowOff>
    </xdr:from>
    <xdr:to>
      <xdr:col>17</xdr:col>
      <xdr:colOff>0</xdr:colOff>
      <xdr:row>63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9C8899-5FA5-497C-9A87-1442822E4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64</xdr:row>
      <xdr:rowOff>0</xdr:rowOff>
    </xdr:from>
    <xdr:to>
      <xdr:col>17</xdr:col>
      <xdr:colOff>0</xdr:colOff>
      <xdr:row>79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E32F730-D7EA-411C-BDC9-135E12FA5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80</xdr:row>
      <xdr:rowOff>0</xdr:rowOff>
    </xdr:from>
    <xdr:to>
      <xdr:col>17</xdr:col>
      <xdr:colOff>0</xdr:colOff>
      <xdr:row>95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AD2AEFD-2E5A-4ED6-B4FD-68036B17B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58615</xdr:colOff>
      <xdr:row>0</xdr:row>
      <xdr:rowOff>0</xdr:rowOff>
    </xdr:from>
    <xdr:to>
      <xdr:col>17</xdr:col>
      <xdr:colOff>58615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C382B1-0B2B-4556-BD42-1E33F3487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17</xdr:col>
      <xdr:colOff>0</xdr:colOff>
      <xdr:row>31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A66EF9-5CD8-41E4-B82B-20CDAE310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32</xdr:row>
      <xdr:rowOff>0</xdr:rowOff>
    </xdr:from>
    <xdr:to>
      <xdr:col>17</xdr:col>
      <xdr:colOff>0</xdr:colOff>
      <xdr:row>47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E90AD4-45E5-4232-9EFA-2152231CB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48</xdr:row>
      <xdr:rowOff>0</xdr:rowOff>
    </xdr:from>
    <xdr:to>
      <xdr:col>17</xdr:col>
      <xdr:colOff>0</xdr:colOff>
      <xdr:row>63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CC794A-B0C5-430D-BC79-E0D24B9BF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64</xdr:row>
      <xdr:rowOff>0</xdr:rowOff>
    </xdr:from>
    <xdr:to>
      <xdr:col>17</xdr:col>
      <xdr:colOff>0</xdr:colOff>
      <xdr:row>79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CA9AE1B-43AC-43CB-AAF2-BB9430272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80</xdr:row>
      <xdr:rowOff>0</xdr:rowOff>
    </xdr:from>
    <xdr:to>
      <xdr:col>17</xdr:col>
      <xdr:colOff>0</xdr:colOff>
      <xdr:row>95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A4B46D5-030C-4F5D-905B-77464D2C0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opLeftCell="A5" zoomScale="90" zoomScaleNormal="90" workbookViewId="0">
      <selection activeCell="H3" sqref="H3"/>
    </sheetView>
  </sheetViews>
  <sheetFormatPr baseColWidth="10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1" x14ac:dyDescent="0.3">
      <c r="A3">
        <v>0.2</v>
      </c>
      <c r="B3">
        <v>0.112594914820804</v>
      </c>
      <c r="C3">
        <v>0.130474139457953</v>
      </c>
      <c r="D3">
        <v>0.13575080137939299</v>
      </c>
      <c r="E3">
        <v>0.13575089287724901</v>
      </c>
      <c r="F3">
        <v>0.174731950124145</v>
      </c>
      <c r="G3">
        <v>0.287207205808721</v>
      </c>
      <c r="H3">
        <v>0.28721713159859202</v>
      </c>
      <c r="J3" t="s">
        <v>2</v>
      </c>
      <c r="K3">
        <f t="shared" ref="K3:K61" si="0">MIN(B3:H3)</f>
        <v>0.112594914820804</v>
      </c>
    </row>
    <row r="4" spans="1:11" x14ac:dyDescent="0.3">
      <c r="A4">
        <v>0.5</v>
      </c>
      <c r="B4">
        <v>0.39221099419602501</v>
      </c>
      <c r="C4">
        <v>0.40334044768809502</v>
      </c>
      <c r="D4">
        <v>0.55742533050908705</v>
      </c>
      <c r="E4">
        <v>0.62253766606258298</v>
      </c>
      <c r="F4">
        <v>0.460541000334317</v>
      </c>
      <c r="G4">
        <v>0.55742533050908705</v>
      </c>
      <c r="H4">
        <v>0.55742533050908705</v>
      </c>
      <c r="J4" t="s">
        <v>2</v>
      </c>
      <c r="K4">
        <f t="shared" si="0"/>
        <v>0.39221099419602501</v>
      </c>
    </row>
    <row r="5" spans="1:11" x14ac:dyDescent="0.3">
      <c r="A5">
        <v>1</v>
      </c>
      <c r="B5">
        <v>0.66023681465086503</v>
      </c>
      <c r="C5">
        <v>0.664218466919136</v>
      </c>
      <c r="D5">
        <v>0.83750778739458798</v>
      </c>
      <c r="E5">
        <v>0.83766747466207603</v>
      </c>
      <c r="F5">
        <v>0.76760225046642405</v>
      </c>
      <c r="G5">
        <v>0.89767001584731698</v>
      </c>
      <c r="H5">
        <v>0.89535276735389002</v>
      </c>
      <c r="J5" t="s">
        <v>2</v>
      </c>
      <c r="K5">
        <f t="shared" si="0"/>
        <v>0.66023681465086503</v>
      </c>
    </row>
    <row r="6" spans="1:11" x14ac:dyDescent="0.3">
      <c r="A6">
        <v>1.5</v>
      </c>
      <c r="B6">
        <v>0.83798034352338502</v>
      </c>
      <c r="C6">
        <v>0.82421331381520202</v>
      </c>
      <c r="D6">
        <v>1.1419026320402299</v>
      </c>
      <c r="E6">
        <v>1.1452708370037801</v>
      </c>
      <c r="F6">
        <v>1.0417999782221701</v>
      </c>
      <c r="G6">
        <v>1.1419026320402299</v>
      </c>
      <c r="H6">
        <v>1.1419026320402299</v>
      </c>
      <c r="J6" t="s">
        <v>3</v>
      </c>
      <c r="K6">
        <f t="shared" si="0"/>
        <v>0.82421331381520202</v>
      </c>
    </row>
    <row r="7" spans="1:11" x14ac:dyDescent="0.3">
      <c r="A7">
        <v>2</v>
      </c>
      <c r="B7">
        <v>1.01266833953809</v>
      </c>
      <c r="C7">
        <v>0.99360329125359004</v>
      </c>
      <c r="D7">
        <v>1.3606270257534201</v>
      </c>
      <c r="E7">
        <v>1.36038238335218</v>
      </c>
      <c r="F7">
        <v>1.24141414134719</v>
      </c>
      <c r="G7">
        <v>1.3945875730050401</v>
      </c>
      <c r="H7">
        <v>1.3922973492888999</v>
      </c>
      <c r="J7" t="s">
        <v>3</v>
      </c>
      <c r="K7">
        <f t="shared" si="0"/>
        <v>0.99360329125359004</v>
      </c>
    </row>
    <row r="8" spans="1:11" x14ac:dyDescent="0.3">
      <c r="A8">
        <v>2.5</v>
      </c>
      <c r="B8">
        <v>1.1067927323283799</v>
      </c>
      <c r="C8">
        <v>1.11341228643054</v>
      </c>
      <c r="D8">
        <v>1.5315667485398301</v>
      </c>
      <c r="E8">
        <v>1.5343621442354001</v>
      </c>
      <c r="F8">
        <v>1.4039017421394</v>
      </c>
      <c r="G8">
        <v>1.5315667485398301</v>
      </c>
      <c r="H8">
        <v>1.5315667485398301</v>
      </c>
      <c r="J8" t="s">
        <v>2</v>
      </c>
      <c r="K8">
        <f t="shared" si="0"/>
        <v>1.1067927323283799</v>
      </c>
    </row>
    <row r="18" spans="1:11" x14ac:dyDescent="0.3">
      <c r="A18" t="s">
        <v>9</v>
      </c>
    </row>
    <row r="19" spans="1:11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</row>
    <row r="20" spans="1:11" x14ac:dyDescent="0.3">
      <c r="A20">
        <v>0.2</v>
      </c>
      <c r="B20">
        <v>7.8745438587267097E-2</v>
      </c>
      <c r="C20">
        <v>8.9674986912790605E-2</v>
      </c>
      <c r="D20">
        <v>9.2020246237969006E-2</v>
      </c>
      <c r="E20">
        <v>9.2024605269103901E-2</v>
      </c>
      <c r="F20">
        <v>0.11883096136574001</v>
      </c>
      <c r="G20">
        <v>0.190389934893126</v>
      </c>
      <c r="H20">
        <v>0.19675412705906201</v>
      </c>
      <c r="J20" t="s">
        <v>2</v>
      </c>
      <c r="K20">
        <f t="shared" si="0"/>
        <v>7.8745438587267097E-2</v>
      </c>
    </row>
    <row r="21" spans="1:11" x14ac:dyDescent="0.3">
      <c r="A21">
        <v>0.5</v>
      </c>
      <c r="B21">
        <v>0.26392772432419798</v>
      </c>
      <c r="C21">
        <v>0.27363700003470398</v>
      </c>
      <c r="D21">
        <v>0.37177776378828697</v>
      </c>
      <c r="E21">
        <v>0.39496938301229001</v>
      </c>
      <c r="F21">
        <v>0.30851043014718499</v>
      </c>
      <c r="G21">
        <v>0.37177776378828697</v>
      </c>
      <c r="H21">
        <v>0.37177776378828697</v>
      </c>
      <c r="J21" t="s">
        <v>2</v>
      </c>
      <c r="K21">
        <f t="shared" si="0"/>
        <v>0.26392772432419798</v>
      </c>
    </row>
    <row r="22" spans="1:11" x14ac:dyDescent="0.3">
      <c r="A22">
        <v>1</v>
      </c>
      <c r="B22">
        <v>0.455437985453644</v>
      </c>
      <c r="C22">
        <v>0.45643788251746398</v>
      </c>
      <c r="D22">
        <v>0.56222570799696003</v>
      </c>
      <c r="E22">
        <v>0.56244482154171405</v>
      </c>
      <c r="F22">
        <v>0.50967447988000003</v>
      </c>
      <c r="G22">
        <v>0.60023954821678005</v>
      </c>
      <c r="H22">
        <v>0.60347257191936698</v>
      </c>
      <c r="J22" t="s">
        <v>2</v>
      </c>
      <c r="K22">
        <f t="shared" si="0"/>
        <v>0.455437985453644</v>
      </c>
    </row>
    <row r="23" spans="1:11" x14ac:dyDescent="0.3">
      <c r="A23">
        <v>1.5</v>
      </c>
      <c r="B23">
        <v>0.57535119498314302</v>
      </c>
      <c r="C23">
        <v>0.565628413145431</v>
      </c>
      <c r="D23">
        <v>0.76375288082640602</v>
      </c>
      <c r="E23">
        <v>0.76369353818581598</v>
      </c>
      <c r="F23">
        <v>0.657557970222997</v>
      </c>
      <c r="G23">
        <v>0.76375288082640602</v>
      </c>
      <c r="H23">
        <v>0.76375288082640602</v>
      </c>
      <c r="J23" t="s">
        <v>3</v>
      </c>
      <c r="K23">
        <f t="shared" si="0"/>
        <v>0.565628413145431</v>
      </c>
    </row>
    <row r="24" spans="1:11" x14ac:dyDescent="0.3">
      <c r="A24">
        <v>2</v>
      </c>
      <c r="B24">
        <v>0.73533886647771196</v>
      </c>
      <c r="C24">
        <v>0.716695831578681</v>
      </c>
      <c r="D24">
        <v>0.901767264166774</v>
      </c>
      <c r="E24">
        <v>0.90153862024662901</v>
      </c>
      <c r="F24">
        <v>0.82032173205568204</v>
      </c>
      <c r="G24">
        <v>0.92077420828113998</v>
      </c>
      <c r="H24">
        <v>0.93033526756280505</v>
      </c>
      <c r="J24" t="s">
        <v>3</v>
      </c>
      <c r="K24">
        <f t="shared" si="0"/>
        <v>0.716695831578681</v>
      </c>
    </row>
    <row r="25" spans="1:11" x14ac:dyDescent="0.3">
      <c r="A25">
        <v>2.5</v>
      </c>
      <c r="B25">
        <v>0.76822495882729203</v>
      </c>
      <c r="C25">
        <v>0.758634551782146</v>
      </c>
      <c r="D25">
        <v>0.99108017378023205</v>
      </c>
      <c r="E25">
        <v>0.99048776863107502</v>
      </c>
      <c r="F25">
        <v>0.89762502094473795</v>
      </c>
      <c r="G25">
        <v>0.99108017378023205</v>
      </c>
      <c r="H25">
        <v>0.99108017378023205</v>
      </c>
      <c r="J25" t="s">
        <v>3</v>
      </c>
      <c r="K25">
        <f t="shared" si="0"/>
        <v>0.758634551782146</v>
      </c>
    </row>
    <row r="36" spans="1:11" x14ac:dyDescent="0.3">
      <c r="A36" t="s">
        <v>10</v>
      </c>
    </row>
    <row r="37" spans="1:11" x14ac:dyDescent="0.3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</row>
    <row r="38" spans="1:11" x14ac:dyDescent="0.3">
      <c r="A38">
        <v>0.2</v>
      </c>
      <c r="B38">
        <v>0.18550745814615699</v>
      </c>
      <c r="C38">
        <v>0.21806212664720401</v>
      </c>
      <c r="D38">
        <v>0.218391941839125</v>
      </c>
      <c r="E38">
        <v>0.21839293226561601</v>
      </c>
      <c r="F38">
        <v>0.276330849381834</v>
      </c>
      <c r="G38">
        <v>0.47977384506028797</v>
      </c>
      <c r="H38">
        <v>0.47492003385265402</v>
      </c>
      <c r="J38" t="s">
        <v>2</v>
      </c>
      <c r="K38">
        <f t="shared" si="0"/>
        <v>0.18550745814615699</v>
      </c>
    </row>
    <row r="39" spans="1:11" x14ac:dyDescent="0.3">
      <c r="A39">
        <v>0.5</v>
      </c>
      <c r="B39">
        <v>0.67215936991157299</v>
      </c>
      <c r="C39">
        <v>0.68383707042967001</v>
      </c>
      <c r="D39">
        <v>0.93589996203316395</v>
      </c>
      <c r="E39">
        <v>0.95805629934102299</v>
      </c>
      <c r="F39">
        <v>0.74561945169142696</v>
      </c>
      <c r="G39">
        <v>0.93589996203316395</v>
      </c>
      <c r="H39">
        <v>0.93589996203316395</v>
      </c>
      <c r="J39" t="s">
        <v>2</v>
      </c>
      <c r="K39">
        <f t="shared" si="0"/>
        <v>0.67215936991157299</v>
      </c>
    </row>
    <row r="40" spans="1:11" x14ac:dyDescent="0.3">
      <c r="A40">
        <v>1</v>
      </c>
      <c r="B40">
        <v>1.14016377525553</v>
      </c>
      <c r="C40">
        <v>1.16075406149174</v>
      </c>
      <c r="D40">
        <v>1.4011220871271299</v>
      </c>
      <c r="E40">
        <v>1.40051116099262</v>
      </c>
      <c r="F40">
        <v>1.2772876218770099</v>
      </c>
      <c r="G40">
        <v>1.5015401035134199</v>
      </c>
      <c r="H40">
        <v>1.5131083129840699</v>
      </c>
      <c r="J40" t="s">
        <v>2</v>
      </c>
      <c r="K40">
        <f t="shared" si="0"/>
        <v>1.14016377525553</v>
      </c>
    </row>
    <row r="41" spans="1:11" x14ac:dyDescent="0.3">
      <c r="A41">
        <v>1.5</v>
      </c>
      <c r="B41">
        <v>1.4069466023417601</v>
      </c>
      <c r="C41">
        <v>1.37245869187429</v>
      </c>
      <c r="D41">
        <v>1.9259180230327699</v>
      </c>
      <c r="E41">
        <v>1.9359128856371099</v>
      </c>
      <c r="F41">
        <v>1.79598732462327</v>
      </c>
      <c r="G41">
        <v>1.9259180230327699</v>
      </c>
      <c r="H41">
        <v>1.9259180230327699</v>
      </c>
      <c r="J41" t="s">
        <v>3</v>
      </c>
      <c r="K41">
        <f t="shared" si="0"/>
        <v>1.37245869187429</v>
      </c>
    </row>
    <row r="42" spans="1:11" x14ac:dyDescent="0.3">
      <c r="A42">
        <v>2</v>
      </c>
      <c r="B42">
        <v>1.8527183604403601</v>
      </c>
      <c r="C42">
        <v>1.8455742006899301</v>
      </c>
      <c r="D42">
        <v>2.3093968895165902</v>
      </c>
      <c r="E42">
        <v>2.3087186658186001</v>
      </c>
      <c r="F42">
        <v>2.1319324406311901</v>
      </c>
      <c r="G42">
        <v>2.36512353273719</v>
      </c>
      <c r="H42">
        <v>2.3583160626768702</v>
      </c>
      <c r="J42" t="s">
        <v>3</v>
      </c>
      <c r="K42">
        <f t="shared" si="0"/>
        <v>1.8455742006899301</v>
      </c>
    </row>
    <row r="43" spans="1:11" x14ac:dyDescent="0.3">
      <c r="A43">
        <v>2.5</v>
      </c>
      <c r="B43">
        <v>2.1144908211620801</v>
      </c>
      <c r="C43">
        <v>2.2013919826882899</v>
      </c>
      <c r="D43">
        <v>2.6613349463498199</v>
      </c>
      <c r="E43">
        <v>2.6749886452496598</v>
      </c>
      <c r="F43">
        <v>2.53844252340396</v>
      </c>
      <c r="G43">
        <v>2.6613349463498199</v>
      </c>
      <c r="H43">
        <v>2.6613349463498199</v>
      </c>
      <c r="J43" t="s">
        <v>2</v>
      </c>
      <c r="K43">
        <f t="shared" si="0"/>
        <v>2.1144908211620801</v>
      </c>
    </row>
    <row r="54" spans="1:11" x14ac:dyDescent="0.3">
      <c r="A54" t="s">
        <v>11</v>
      </c>
    </row>
    <row r="55" spans="1:11" x14ac:dyDescent="0.3">
      <c r="A55" t="s">
        <v>1</v>
      </c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</row>
    <row r="56" spans="1:11" x14ac:dyDescent="0.3">
      <c r="A56">
        <v>0.2</v>
      </c>
      <c r="B56">
        <v>0.145533092475787</v>
      </c>
      <c r="C56">
        <v>0.17088008341088601</v>
      </c>
      <c r="D56">
        <v>0.172186501782325</v>
      </c>
      <c r="E56">
        <v>0.172185646800149</v>
      </c>
      <c r="F56">
        <v>0.22711743679649701</v>
      </c>
      <c r="G56">
        <v>0.38734929479962099</v>
      </c>
      <c r="H56">
        <v>0.40001066427899201</v>
      </c>
      <c r="J56" t="s">
        <v>2</v>
      </c>
      <c r="K56">
        <f t="shared" si="0"/>
        <v>0.145533092475787</v>
      </c>
    </row>
    <row r="57" spans="1:11" x14ac:dyDescent="0.3">
      <c r="A57">
        <v>0.5</v>
      </c>
      <c r="B57">
        <v>0.52592094292157399</v>
      </c>
      <c r="C57">
        <v>0.541202028785848</v>
      </c>
      <c r="D57">
        <v>0.757550179199729</v>
      </c>
      <c r="E57">
        <v>0.75777470153638704</v>
      </c>
      <c r="F57">
        <v>0.59475568208246699</v>
      </c>
      <c r="G57">
        <v>0.757550179199729</v>
      </c>
      <c r="H57">
        <v>0.757550179199729</v>
      </c>
      <c r="J57" t="s">
        <v>2</v>
      </c>
      <c r="K57">
        <f t="shared" si="0"/>
        <v>0.52592094292157399</v>
      </c>
    </row>
    <row r="58" spans="1:11" x14ac:dyDescent="0.3">
      <c r="A58">
        <v>1</v>
      </c>
      <c r="B58">
        <v>0.90221583865626198</v>
      </c>
      <c r="C58">
        <v>0.892038556727756</v>
      </c>
      <c r="D58">
        <v>1.1385147825616799</v>
      </c>
      <c r="E58">
        <v>1.13919140797568</v>
      </c>
      <c r="F58">
        <v>0.955335240107824</v>
      </c>
      <c r="G58">
        <v>1.2311954866846899</v>
      </c>
      <c r="H58">
        <v>1.22933907356587</v>
      </c>
      <c r="J58" t="s">
        <v>3</v>
      </c>
      <c r="K58">
        <f t="shared" si="0"/>
        <v>0.892038556727756</v>
      </c>
    </row>
    <row r="59" spans="1:11" x14ac:dyDescent="0.3">
      <c r="A59">
        <v>1.5</v>
      </c>
      <c r="B59">
        <v>1.1690341269748701</v>
      </c>
      <c r="C59">
        <v>1.1223212937386</v>
      </c>
      <c r="D59">
        <v>1.5698436364443999</v>
      </c>
      <c r="E59">
        <v>1.5713814094698</v>
      </c>
      <c r="F59">
        <v>1.2956933972106901</v>
      </c>
      <c r="G59">
        <v>1.5698436364443999</v>
      </c>
      <c r="H59">
        <v>1.5698436364443999</v>
      </c>
      <c r="J59" t="s">
        <v>3</v>
      </c>
      <c r="K59">
        <f t="shared" si="0"/>
        <v>1.1223212937386</v>
      </c>
    </row>
    <row r="60" spans="1:11" x14ac:dyDescent="0.3">
      <c r="A60">
        <v>2</v>
      </c>
      <c r="B60">
        <v>1.31699219904047</v>
      </c>
      <c r="C60">
        <v>1.27064557239513</v>
      </c>
      <c r="D60">
        <v>1.76764271886569</v>
      </c>
      <c r="E60">
        <v>1.7678501389030501</v>
      </c>
      <c r="F60">
        <v>1.4092042678268999</v>
      </c>
      <c r="G60">
        <v>1.8264689383936299</v>
      </c>
      <c r="H60">
        <v>1.8299070472940799</v>
      </c>
      <c r="J60" t="s">
        <v>3</v>
      </c>
      <c r="K60">
        <f t="shared" si="0"/>
        <v>1.27064557239513</v>
      </c>
    </row>
    <row r="61" spans="1:11" x14ac:dyDescent="0.3">
      <c r="A61">
        <v>2.5</v>
      </c>
      <c r="B61">
        <v>1.3354289030434701</v>
      </c>
      <c r="C61">
        <v>1.34709824867724</v>
      </c>
      <c r="D61">
        <v>2.1653495549858102</v>
      </c>
      <c r="E61">
        <v>2.1635410000692801</v>
      </c>
      <c r="F61">
        <v>1.7209340202127701</v>
      </c>
      <c r="G61">
        <v>2.1653495549858102</v>
      </c>
      <c r="H61">
        <v>2.1653495549858102</v>
      </c>
      <c r="J61" t="s">
        <v>2</v>
      </c>
      <c r="K61">
        <f t="shared" si="0"/>
        <v>1.3354289030434701</v>
      </c>
    </row>
    <row r="72" spans="1:11" x14ac:dyDescent="0.3">
      <c r="A72" t="s">
        <v>12</v>
      </c>
    </row>
    <row r="73" spans="1:11" x14ac:dyDescent="0.3">
      <c r="A73" t="s">
        <v>1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</row>
    <row r="74" spans="1:11" x14ac:dyDescent="0.3">
      <c r="A74">
        <v>0.2</v>
      </c>
      <c r="B74">
        <v>0.29615591516436901</v>
      </c>
      <c r="C74">
        <v>0.34327830434782602</v>
      </c>
      <c r="D74">
        <v>0.34960134529148001</v>
      </c>
      <c r="E74">
        <v>0.34948910538116601</v>
      </c>
      <c r="F74">
        <v>0.439339306053812</v>
      </c>
      <c r="G74">
        <v>0.79039692825111996</v>
      </c>
      <c r="H74">
        <v>0.80394234753363103</v>
      </c>
      <c r="J74" t="s">
        <v>2</v>
      </c>
      <c r="K74">
        <f t="shared" ref="K74:K98" si="1">MIN(B74:H74)</f>
        <v>0.29615591516436901</v>
      </c>
    </row>
    <row r="75" spans="1:11" x14ac:dyDescent="0.3">
      <c r="A75">
        <v>0.5</v>
      </c>
      <c r="B75">
        <v>1.092685252386</v>
      </c>
      <c r="C75">
        <v>1.0415240296924699</v>
      </c>
      <c r="D75">
        <v>1.4889030235426</v>
      </c>
      <c r="E75">
        <v>1.48994087443946</v>
      </c>
      <c r="F75">
        <v>1.1347456069428901</v>
      </c>
      <c r="G75">
        <v>1.4889030235426</v>
      </c>
      <c r="H75">
        <v>1.4889030235426</v>
      </c>
      <c r="J75" t="s">
        <v>3</v>
      </c>
      <c r="K75">
        <f t="shared" si="1"/>
        <v>1.0415240296924699</v>
      </c>
    </row>
    <row r="76" spans="1:11" x14ac:dyDescent="0.3">
      <c r="A76">
        <v>1</v>
      </c>
      <c r="B76">
        <v>1.6901263181336199</v>
      </c>
      <c r="C76">
        <v>1.63562344962884</v>
      </c>
      <c r="D76">
        <v>2.2422100100896798</v>
      </c>
      <c r="E76">
        <v>2.2441606771300502</v>
      </c>
      <c r="F76">
        <v>1.70038555095185</v>
      </c>
      <c r="G76">
        <v>2.4841791928251098</v>
      </c>
      <c r="H76">
        <v>2.4120350762331801</v>
      </c>
      <c r="J76" t="s">
        <v>3</v>
      </c>
      <c r="K76">
        <f t="shared" si="1"/>
        <v>1.63562344962884</v>
      </c>
    </row>
    <row r="77" spans="1:11" x14ac:dyDescent="0.3">
      <c r="A77">
        <v>1.5</v>
      </c>
      <c r="B77">
        <v>2.0854527077114402</v>
      </c>
      <c r="C77">
        <v>2.1893838669154202</v>
      </c>
      <c r="D77">
        <v>3.0775260650224201</v>
      </c>
      <c r="E77">
        <v>3.0908152701793701</v>
      </c>
      <c r="F77">
        <v>2.5870682497200401</v>
      </c>
      <c r="G77">
        <v>3.0775260650224201</v>
      </c>
      <c r="H77">
        <v>3.0775260650224201</v>
      </c>
      <c r="J77" t="s">
        <v>2</v>
      </c>
      <c r="K77">
        <f t="shared" si="1"/>
        <v>2.0854527077114402</v>
      </c>
    </row>
    <row r="78" spans="1:11" x14ac:dyDescent="0.3">
      <c r="A78">
        <v>2</v>
      </c>
      <c r="B78">
        <v>2.6708153067729099</v>
      </c>
      <c r="C78">
        <v>2.7434718027888501</v>
      </c>
      <c r="D78">
        <v>3.22863719708847</v>
      </c>
      <c r="E78">
        <v>3.2406959473684198</v>
      </c>
      <c r="F78">
        <v>3.5024568924972002</v>
      </c>
      <c r="G78">
        <v>3.2935967110862299</v>
      </c>
      <c r="H78">
        <v>3.1951369843225099</v>
      </c>
      <c r="J78" t="s">
        <v>2</v>
      </c>
      <c r="K78">
        <f t="shared" si="1"/>
        <v>2.6708153067729099</v>
      </c>
    </row>
    <row r="79" spans="1:11" x14ac:dyDescent="0.3">
      <c r="A79">
        <v>2.5</v>
      </c>
      <c r="B79">
        <v>2.8397719429735302</v>
      </c>
      <c r="C79">
        <v>2.8206512057026498</v>
      </c>
      <c r="D79">
        <v>4.8066796741321296</v>
      </c>
      <c r="E79">
        <v>4.8533745632698801</v>
      </c>
      <c r="F79">
        <v>3.5091075285554298</v>
      </c>
      <c r="G79">
        <v>4.8066796741321296</v>
      </c>
      <c r="H79">
        <v>4.8066796741321296</v>
      </c>
      <c r="J79" t="s">
        <v>3</v>
      </c>
      <c r="K79">
        <f t="shared" si="1"/>
        <v>2.8206512057026498</v>
      </c>
    </row>
    <row r="91" spans="1:11" x14ac:dyDescent="0.3">
      <c r="A91" t="s">
        <v>13</v>
      </c>
    </row>
    <row r="92" spans="1:11" x14ac:dyDescent="0.3">
      <c r="A92" t="s">
        <v>1</v>
      </c>
      <c r="B92" t="s">
        <v>2</v>
      </c>
      <c r="C92" t="s">
        <v>3</v>
      </c>
      <c r="D92" t="s">
        <v>4</v>
      </c>
      <c r="E92" t="s">
        <v>5</v>
      </c>
      <c r="F92" t="s">
        <v>6</v>
      </c>
      <c r="G92" t="s">
        <v>7</v>
      </c>
      <c r="H92" t="s">
        <v>8</v>
      </c>
    </row>
    <row r="93" spans="1:11" x14ac:dyDescent="0.3">
      <c r="A93">
        <v>0.2</v>
      </c>
      <c r="B93">
        <v>0.39068360942553498</v>
      </c>
      <c r="C93">
        <v>0.46155813291236902</v>
      </c>
      <c r="D93">
        <v>0.45251513444005897</v>
      </c>
      <c r="E93">
        <v>0.45244368349435299</v>
      </c>
      <c r="F93">
        <v>0.56428561798052701</v>
      </c>
      <c r="G93">
        <v>0.91962067505783895</v>
      </c>
      <c r="H93">
        <v>0.92996302319661095</v>
      </c>
      <c r="J93" t="s">
        <v>2</v>
      </c>
      <c r="K93">
        <f t="shared" si="1"/>
        <v>0.39068360942553498</v>
      </c>
    </row>
    <row r="94" spans="1:11" x14ac:dyDescent="0.3">
      <c r="A94">
        <v>0.5</v>
      </c>
      <c r="B94">
        <v>1.44614555300952</v>
      </c>
      <c r="C94">
        <v>1.4719527032435</v>
      </c>
      <c r="D94">
        <v>1.7949832327784201</v>
      </c>
      <c r="E94">
        <v>1.79466281357635</v>
      </c>
      <c r="F94">
        <v>1.4699538496321101</v>
      </c>
      <c r="G94">
        <v>1.7949832327784201</v>
      </c>
      <c r="H94">
        <v>1.7949832327784201</v>
      </c>
      <c r="J94" t="s">
        <v>2</v>
      </c>
      <c r="K94">
        <f t="shared" si="1"/>
        <v>1.44614555300952</v>
      </c>
    </row>
    <row r="95" spans="1:11" x14ac:dyDescent="0.3">
      <c r="A95">
        <v>1</v>
      </c>
      <c r="B95">
        <v>2.2043747533870701</v>
      </c>
      <c r="C95">
        <v>2.2881606508317698</v>
      </c>
      <c r="D95">
        <v>2.5166408828789102</v>
      </c>
      <c r="E95">
        <v>2.5152555773966601</v>
      </c>
      <c r="F95">
        <v>2.2862955920768</v>
      </c>
      <c r="G95">
        <v>2.68790285532102</v>
      </c>
      <c r="H95">
        <v>2.71091590383182</v>
      </c>
      <c r="J95" t="s">
        <v>2</v>
      </c>
      <c r="K95">
        <f t="shared" si="1"/>
        <v>2.2043747533870701</v>
      </c>
    </row>
    <row r="96" spans="1:11" x14ac:dyDescent="0.3">
      <c r="A96">
        <v>1.5</v>
      </c>
      <c r="B96">
        <v>2.8905673493217998</v>
      </c>
      <c r="C96">
        <v>2.9801889905641801</v>
      </c>
      <c r="D96">
        <v>3.3652386869552702</v>
      </c>
      <c r="E96">
        <v>3.36022212042417</v>
      </c>
      <c r="F96">
        <v>3.0502767263883199</v>
      </c>
      <c r="G96">
        <v>3.3652386869552702</v>
      </c>
      <c r="H96">
        <v>3.3652386869552702</v>
      </c>
      <c r="J96" t="s">
        <v>2</v>
      </c>
      <c r="K96">
        <f t="shared" si="1"/>
        <v>2.8905673493217998</v>
      </c>
    </row>
    <row r="97" spans="1:11" x14ac:dyDescent="0.3">
      <c r="A97">
        <v>2</v>
      </c>
      <c r="B97">
        <v>3.7228109739336399</v>
      </c>
      <c r="C97">
        <v>3.72747495497631</v>
      </c>
      <c r="D97">
        <v>4.4502171080958099</v>
      </c>
      <c r="E97">
        <v>4.4422569472407503</v>
      </c>
      <c r="F97">
        <v>3.6270986794682298</v>
      </c>
      <c r="G97">
        <v>4.5656577516676702</v>
      </c>
      <c r="H97">
        <v>4.6062695582793598</v>
      </c>
      <c r="J97" t="s">
        <v>6</v>
      </c>
      <c r="K97">
        <f t="shared" si="1"/>
        <v>3.6270986794682298</v>
      </c>
    </row>
    <row r="98" spans="1:11" x14ac:dyDescent="0.3">
      <c r="A98">
        <v>2.5</v>
      </c>
      <c r="B98">
        <v>3.3379729158020699</v>
      </c>
      <c r="C98">
        <v>3.5609562182761398</v>
      </c>
      <c r="D98">
        <v>3.9263036366131998</v>
      </c>
      <c r="E98">
        <v>3.90496155656695</v>
      </c>
      <c r="F98">
        <v>3.5810826470433499</v>
      </c>
      <c r="G98">
        <v>3.9263036366131998</v>
      </c>
      <c r="H98">
        <v>3.9263036366131998</v>
      </c>
      <c r="J98" t="s">
        <v>2</v>
      </c>
      <c r="K98">
        <f t="shared" si="1"/>
        <v>3.3379729158020699</v>
      </c>
    </row>
  </sheetData>
  <conditionalFormatting sqref="B3:H8">
    <cfRule type="expression" dxfId="53" priority="6">
      <formula>B3 = MIN($B3:$H3)</formula>
    </cfRule>
  </conditionalFormatting>
  <conditionalFormatting sqref="B20:H25">
    <cfRule type="expression" dxfId="52" priority="5">
      <formula>B20 = MIN($B20:$H20)</formula>
    </cfRule>
  </conditionalFormatting>
  <conditionalFormatting sqref="B38:H43">
    <cfRule type="expression" dxfId="51" priority="4">
      <formula>B38 = MIN($B38:$H38)</formula>
    </cfRule>
  </conditionalFormatting>
  <conditionalFormatting sqref="B56:H61">
    <cfRule type="expression" dxfId="50" priority="3">
      <formula>B56 = MIN($B56:$H56)</formula>
    </cfRule>
  </conditionalFormatting>
  <conditionalFormatting sqref="B74:H79">
    <cfRule type="expression" dxfId="49" priority="2">
      <formula>B74 = MIN($B74:$H74)</formula>
    </cfRule>
  </conditionalFormatting>
  <conditionalFormatting sqref="B93:H98">
    <cfRule type="expression" dxfId="48" priority="1">
      <formula>B93 = MIN($B93:$H93)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topLeftCell="A43" workbookViewId="0">
      <selection activeCell="H48" sqref="A1:H48"/>
    </sheetView>
  </sheetViews>
  <sheetFormatPr baseColWidth="10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1" x14ac:dyDescent="0.3">
      <c r="A3">
        <v>0.2</v>
      </c>
      <c r="B3">
        <v>7.4092761559985301E-2</v>
      </c>
      <c r="C3">
        <v>0.102327430331417</v>
      </c>
      <c r="D3">
        <v>0.108446739921454</v>
      </c>
      <c r="E3">
        <v>0.1084484498224</v>
      </c>
      <c r="F3">
        <v>0.16446848637000999</v>
      </c>
      <c r="G3">
        <v>0.46236324656931099</v>
      </c>
      <c r="H3">
        <v>0.47316786405580902</v>
      </c>
      <c r="J3" t="s">
        <v>2</v>
      </c>
      <c r="K3">
        <f t="shared" ref="K3:K40" si="0">MIN(B3:H3)</f>
        <v>7.4092761559985301E-2</v>
      </c>
    </row>
    <row r="4" spans="1:11" x14ac:dyDescent="0.3">
      <c r="A4">
        <v>0.5</v>
      </c>
      <c r="B4">
        <v>0.71812072659039194</v>
      </c>
      <c r="C4">
        <v>0.72132527742882302</v>
      </c>
      <c r="D4">
        <v>1.3917604775758601</v>
      </c>
      <c r="E4">
        <v>20.1740448713681</v>
      </c>
      <c r="F4">
        <v>0.84842262954391301</v>
      </c>
      <c r="G4">
        <v>1.3917604775758601</v>
      </c>
      <c r="H4">
        <v>1.3917604775758601</v>
      </c>
      <c r="J4" t="s">
        <v>2</v>
      </c>
      <c r="K4">
        <f t="shared" si="0"/>
        <v>0.71812072659039194</v>
      </c>
    </row>
    <row r="5" spans="1:11" x14ac:dyDescent="0.3">
      <c r="A5">
        <v>1</v>
      </c>
      <c r="B5">
        <v>1.76217404362635</v>
      </c>
      <c r="C5">
        <v>1.72286117787566</v>
      </c>
      <c r="D5">
        <v>2.8242754052354302</v>
      </c>
      <c r="E5">
        <v>2.8230846883209</v>
      </c>
      <c r="F5">
        <v>2.0736870543289601</v>
      </c>
      <c r="G5">
        <v>3.29734894849455</v>
      </c>
      <c r="H5">
        <v>3.28552319391035</v>
      </c>
      <c r="J5" t="s">
        <v>3</v>
      </c>
      <c r="K5">
        <f t="shared" si="0"/>
        <v>1.72286117787566</v>
      </c>
    </row>
    <row r="6" spans="1:11" x14ac:dyDescent="0.3">
      <c r="A6">
        <v>1.5</v>
      </c>
      <c r="B6">
        <v>2.56423269384435</v>
      </c>
      <c r="C6">
        <v>2.4442355756995902</v>
      </c>
      <c r="D6">
        <v>5.1610565003577298</v>
      </c>
      <c r="E6">
        <v>5.3013202890006204</v>
      </c>
      <c r="F6">
        <v>4.2037988324173297</v>
      </c>
      <c r="G6">
        <v>5.1610565003577298</v>
      </c>
      <c r="H6">
        <v>5.1610565003577298</v>
      </c>
      <c r="J6" t="s">
        <v>3</v>
      </c>
      <c r="K6">
        <f t="shared" si="0"/>
        <v>2.4442355756995902</v>
      </c>
    </row>
    <row r="7" spans="1:11" x14ac:dyDescent="0.3">
      <c r="A7">
        <v>2</v>
      </c>
      <c r="B7">
        <v>4.0999354564344896</v>
      </c>
      <c r="C7">
        <v>3.9780034065399699</v>
      </c>
      <c r="D7">
        <v>7.1682263522394098</v>
      </c>
      <c r="E7">
        <v>7.1562474648002103</v>
      </c>
      <c r="F7">
        <v>5.4755688910830997</v>
      </c>
      <c r="G7">
        <v>7.5202849488097803</v>
      </c>
      <c r="H7">
        <v>7.5151522690168102</v>
      </c>
      <c r="J7" t="s">
        <v>3</v>
      </c>
      <c r="K7">
        <f t="shared" si="0"/>
        <v>3.9780034065399699</v>
      </c>
    </row>
    <row r="8" spans="1:11" x14ac:dyDescent="0.3">
      <c r="A8">
        <v>2.5</v>
      </c>
      <c r="B8">
        <v>4.1566023241043002</v>
      </c>
      <c r="C8">
        <v>4.2642601650638099</v>
      </c>
      <c r="D8">
        <v>8.8365356196786795</v>
      </c>
      <c r="E8">
        <v>8.8757973118305706</v>
      </c>
      <c r="F8">
        <v>6.7972503783407996</v>
      </c>
      <c r="G8">
        <v>8.8365356196786795</v>
      </c>
      <c r="H8">
        <v>8.8365356196786795</v>
      </c>
      <c r="J8" t="s">
        <v>2</v>
      </c>
      <c r="K8">
        <f t="shared" si="0"/>
        <v>4.1566023241043002</v>
      </c>
    </row>
    <row r="9" spans="1:11" x14ac:dyDescent="0.3">
      <c r="A9" t="s">
        <v>9</v>
      </c>
    </row>
    <row r="10" spans="1:11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11" x14ac:dyDescent="0.3">
      <c r="A11">
        <v>0.2</v>
      </c>
      <c r="B11">
        <v>3.4078706320722602E-2</v>
      </c>
      <c r="C11">
        <v>4.7203092776316902E-2</v>
      </c>
      <c r="D11">
        <v>5.2784792704143602E-2</v>
      </c>
      <c r="E11">
        <v>5.2799609720276003E-2</v>
      </c>
      <c r="F11">
        <v>8.2921026132286704E-2</v>
      </c>
      <c r="G11">
        <v>0.21498920090152901</v>
      </c>
      <c r="H11">
        <v>0.24350611302063599</v>
      </c>
      <c r="J11" t="s">
        <v>2</v>
      </c>
      <c r="K11">
        <f t="shared" si="0"/>
        <v>3.4078706320722602E-2</v>
      </c>
    </row>
    <row r="12" spans="1:11" x14ac:dyDescent="0.3">
      <c r="A12">
        <v>0.5</v>
      </c>
      <c r="B12">
        <v>0.33672260718540498</v>
      </c>
      <c r="C12">
        <v>0.35037477086971802</v>
      </c>
      <c r="D12">
        <v>0.66650864620466899</v>
      </c>
      <c r="E12">
        <v>7.4061691490936301</v>
      </c>
      <c r="F12">
        <v>0.43209051308858798</v>
      </c>
      <c r="G12">
        <v>0.66650864620466899</v>
      </c>
      <c r="H12">
        <v>0.66650864620466899</v>
      </c>
      <c r="J12" t="s">
        <v>2</v>
      </c>
      <c r="K12">
        <f t="shared" si="0"/>
        <v>0.33672260718540498</v>
      </c>
    </row>
    <row r="13" spans="1:11" x14ac:dyDescent="0.3">
      <c r="A13">
        <v>1</v>
      </c>
      <c r="B13">
        <v>0.944321678997318</v>
      </c>
      <c r="C13">
        <v>0.89951803348117798</v>
      </c>
      <c r="D13">
        <v>1.4607563252603</v>
      </c>
      <c r="E13">
        <v>1.4623910859874101</v>
      </c>
      <c r="F13">
        <v>1.03594912214101</v>
      </c>
      <c r="G13">
        <v>1.66954434620932</v>
      </c>
      <c r="H13">
        <v>1.69078708518386</v>
      </c>
      <c r="J13" t="s">
        <v>3</v>
      </c>
      <c r="K13">
        <f t="shared" si="0"/>
        <v>0.89951803348117798</v>
      </c>
    </row>
    <row r="14" spans="1:11" x14ac:dyDescent="0.3">
      <c r="A14">
        <v>1.5</v>
      </c>
      <c r="B14">
        <v>1.2934343324214801</v>
      </c>
      <c r="C14">
        <v>1.19297404655364</v>
      </c>
      <c r="D14">
        <v>2.4858895793650699</v>
      </c>
      <c r="E14">
        <v>2.4855076775076399</v>
      </c>
      <c r="F14">
        <v>1.6285711506446201</v>
      </c>
      <c r="G14">
        <v>2.4858895793650699</v>
      </c>
      <c r="H14">
        <v>2.4858895793650699</v>
      </c>
      <c r="J14" t="s">
        <v>3</v>
      </c>
      <c r="K14">
        <f t="shared" si="0"/>
        <v>1.19297404655364</v>
      </c>
    </row>
    <row r="15" spans="1:11" x14ac:dyDescent="0.3">
      <c r="A15">
        <v>2</v>
      </c>
      <c r="B15">
        <v>2.30120944376679</v>
      </c>
      <c r="C15">
        <v>2.0999633800678201</v>
      </c>
      <c r="D15">
        <v>3.5529054942023</v>
      </c>
      <c r="E15">
        <v>3.5440586255215099</v>
      </c>
      <c r="F15">
        <v>2.63701835180118</v>
      </c>
      <c r="G15">
        <v>3.6775408314697402</v>
      </c>
      <c r="H15">
        <v>3.82861298500297</v>
      </c>
      <c r="J15" t="s">
        <v>3</v>
      </c>
      <c r="K15">
        <f t="shared" si="0"/>
        <v>2.0999633800678201</v>
      </c>
    </row>
    <row r="16" spans="1:11" x14ac:dyDescent="0.3">
      <c r="A16">
        <v>2.5</v>
      </c>
      <c r="B16">
        <v>1.89744498922752</v>
      </c>
      <c r="C16">
        <v>1.8492935526168399</v>
      </c>
      <c r="D16">
        <v>3.64909157869281</v>
      </c>
      <c r="E16">
        <v>3.6366586584466001</v>
      </c>
      <c r="F16">
        <v>2.65255085994561</v>
      </c>
      <c r="G16">
        <v>3.64909157869281</v>
      </c>
      <c r="H16">
        <v>3.64909157869281</v>
      </c>
      <c r="J16" t="s">
        <v>3</v>
      </c>
      <c r="K16">
        <f t="shared" si="0"/>
        <v>1.8492935526168399</v>
      </c>
    </row>
    <row r="17" spans="1:11" x14ac:dyDescent="0.3">
      <c r="A17" t="s">
        <v>10</v>
      </c>
    </row>
    <row r="18" spans="1:11" x14ac:dyDescent="0.3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11" x14ac:dyDescent="0.3">
      <c r="A19">
        <v>0.2</v>
      </c>
      <c r="B19">
        <v>0.16128617512728299</v>
      </c>
      <c r="C19">
        <v>0.22149668164121</v>
      </c>
      <c r="D19">
        <v>0.21726808360626201</v>
      </c>
      <c r="E19">
        <v>0.21728143141983</v>
      </c>
      <c r="F19">
        <v>0.31960126196022198</v>
      </c>
      <c r="G19">
        <v>0.971233074860537</v>
      </c>
      <c r="H19">
        <v>0.94781142181129996</v>
      </c>
      <c r="J19" t="s">
        <v>2</v>
      </c>
      <c r="K19">
        <f t="shared" si="0"/>
        <v>0.16128617512728299</v>
      </c>
    </row>
    <row r="20" spans="1:11" x14ac:dyDescent="0.3">
      <c r="A20">
        <v>0.5</v>
      </c>
      <c r="B20">
        <v>1.55459647092051</v>
      </c>
      <c r="C20">
        <v>1.50891791733863</v>
      </c>
      <c r="D20">
        <v>2.9096437629804699</v>
      </c>
      <c r="E20">
        <v>9.0998379531072899</v>
      </c>
      <c r="F20">
        <v>1.6380532449257099</v>
      </c>
      <c r="G20">
        <v>2.9096437629804699</v>
      </c>
      <c r="H20">
        <v>2.9096437629804699</v>
      </c>
      <c r="J20" t="s">
        <v>3</v>
      </c>
      <c r="K20">
        <f t="shared" si="0"/>
        <v>1.50891791733863</v>
      </c>
    </row>
    <row r="21" spans="1:11" x14ac:dyDescent="0.3">
      <c r="A21">
        <v>1</v>
      </c>
      <c r="B21">
        <v>3.5962950350560701</v>
      </c>
      <c r="C21">
        <v>3.60321228475842</v>
      </c>
      <c r="D21">
        <v>5.63069882596377</v>
      </c>
      <c r="E21">
        <v>5.6209855784979501</v>
      </c>
      <c r="F21">
        <v>4.0731758687808703</v>
      </c>
      <c r="G21">
        <v>6.6291328738873396</v>
      </c>
      <c r="H21">
        <v>6.7369665058819796</v>
      </c>
      <c r="J21" t="s">
        <v>2</v>
      </c>
      <c r="K21">
        <f t="shared" si="0"/>
        <v>3.5962950350560701</v>
      </c>
    </row>
    <row r="22" spans="1:11" x14ac:dyDescent="0.3">
      <c r="A22">
        <v>1.5</v>
      </c>
      <c r="B22">
        <v>5.0275272908266597</v>
      </c>
      <c r="C22">
        <v>4.7636513147724298</v>
      </c>
      <c r="D22">
        <v>10.8973853209775</v>
      </c>
      <c r="E22">
        <v>11.450755042067501</v>
      </c>
      <c r="F22">
        <v>10.0759667153953</v>
      </c>
      <c r="G22">
        <v>10.8973853209775</v>
      </c>
      <c r="H22">
        <v>10.8973853209775</v>
      </c>
      <c r="J22" t="s">
        <v>3</v>
      </c>
      <c r="K22">
        <f t="shared" si="0"/>
        <v>4.7636513147724298</v>
      </c>
    </row>
    <row r="23" spans="1:11" x14ac:dyDescent="0.3">
      <c r="A23">
        <v>2</v>
      </c>
      <c r="B23">
        <v>9.6224459141132392</v>
      </c>
      <c r="C23">
        <v>9.8217380686890792</v>
      </c>
      <c r="D23">
        <v>14.2426885365534</v>
      </c>
      <c r="E23">
        <v>14.2365313095631</v>
      </c>
      <c r="F23">
        <v>11.6035785292811</v>
      </c>
      <c r="G23">
        <v>14.9449993615309</v>
      </c>
      <c r="H23">
        <v>14.7456879300026</v>
      </c>
      <c r="J23" t="s">
        <v>2</v>
      </c>
      <c r="K23">
        <f t="shared" si="0"/>
        <v>9.6224459141132392</v>
      </c>
    </row>
    <row r="24" spans="1:11" x14ac:dyDescent="0.3">
      <c r="A24">
        <v>2.5</v>
      </c>
      <c r="B24">
        <v>11.6576190391006</v>
      </c>
      <c r="C24">
        <v>12.365437012635599</v>
      </c>
      <c r="D24">
        <v>20.446530533387701</v>
      </c>
      <c r="E24">
        <v>20.720128385580701</v>
      </c>
      <c r="F24">
        <v>16.303441354602199</v>
      </c>
      <c r="G24">
        <v>20.446530533387701</v>
      </c>
      <c r="H24">
        <v>20.446530533387701</v>
      </c>
      <c r="J24" t="s">
        <v>2</v>
      </c>
      <c r="K24">
        <f t="shared" si="0"/>
        <v>11.6576190391006</v>
      </c>
    </row>
    <row r="25" spans="1:11" x14ac:dyDescent="0.3">
      <c r="A25" t="s">
        <v>11</v>
      </c>
    </row>
    <row r="26" spans="1:11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11" x14ac:dyDescent="0.3">
      <c r="A27">
        <v>0.2</v>
      </c>
      <c r="B27">
        <v>0.116244558094648</v>
      </c>
      <c r="C27">
        <v>0.16246845341743499</v>
      </c>
      <c r="D27">
        <v>0.16186238078422399</v>
      </c>
      <c r="E27">
        <v>0.16184888186694199</v>
      </c>
      <c r="F27">
        <v>0.25271364402164997</v>
      </c>
      <c r="G27">
        <v>0.74716232604856903</v>
      </c>
      <c r="H27">
        <v>0.83310143815576498</v>
      </c>
      <c r="J27" t="s">
        <v>2</v>
      </c>
      <c r="K27">
        <f t="shared" si="0"/>
        <v>0.116244558094648</v>
      </c>
    </row>
    <row r="28" spans="1:11" x14ac:dyDescent="0.3">
      <c r="A28">
        <v>0.5</v>
      </c>
      <c r="B28">
        <v>1.1780812819040201</v>
      </c>
      <c r="C28">
        <v>1.19316008022689</v>
      </c>
      <c r="D28">
        <v>2.23637825598514</v>
      </c>
      <c r="E28">
        <v>2.2373151904440198</v>
      </c>
      <c r="F28">
        <v>1.28595549303962</v>
      </c>
      <c r="G28">
        <v>2.23637825598514</v>
      </c>
      <c r="H28">
        <v>2.23637825598514</v>
      </c>
      <c r="J28" t="s">
        <v>2</v>
      </c>
      <c r="K28">
        <f t="shared" si="0"/>
        <v>1.1780812819040201</v>
      </c>
    </row>
    <row r="29" spans="1:11" x14ac:dyDescent="0.3">
      <c r="A29">
        <v>1</v>
      </c>
      <c r="B29">
        <v>3.06380916912109</v>
      </c>
      <c r="C29">
        <v>2.86824531422607</v>
      </c>
      <c r="D29">
        <v>4.6555487866846601</v>
      </c>
      <c r="E29">
        <v>4.6578920565393602</v>
      </c>
      <c r="F29">
        <v>2.9781714032413502</v>
      </c>
      <c r="G29">
        <v>5.4260694024332796</v>
      </c>
      <c r="H29">
        <v>5.4964942659715597</v>
      </c>
      <c r="J29" t="s">
        <v>3</v>
      </c>
      <c r="K29">
        <f t="shared" si="0"/>
        <v>2.86824531422607</v>
      </c>
    </row>
    <row r="30" spans="1:11" x14ac:dyDescent="0.3">
      <c r="A30">
        <v>1.5</v>
      </c>
      <c r="B30">
        <v>4.7195630093552099</v>
      </c>
      <c r="C30">
        <v>4.2879552641590397</v>
      </c>
      <c r="D30">
        <v>8.3713510516193104</v>
      </c>
      <c r="E30">
        <v>8.3746382512297597</v>
      </c>
      <c r="F30">
        <v>5.9421961068902203</v>
      </c>
      <c r="G30">
        <v>8.3713510516193104</v>
      </c>
      <c r="H30">
        <v>8.3713510516193104</v>
      </c>
      <c r="J30" t="s">
        <v>3</v>
      </c>
      <c r="K30">
        <f t="shared" si="0"/>
        <v>4.2879552641590397</v>
      </c>
    </row>
    <row r="31" spans="1:11" x14ac:dyDescent="0.3">
      <c r="A31">
        <v>2</v>
      </c>
      <c r="B31">
        <v>6.5039733848362102</v>
      </c>
      <c r="C31">
        <v>6.0401805132241897</v>
      </c>
      <c r="D31">
        <v>9.9749820990320792</v>
      </c>
      <c r="E31">
        <v>9.9661854853455996</v>
      </c>
      <c r="F31">
        <v>6.0775783959944798</v>
      </c>
      <c r="G31">
        <v>10.586121803837599</v>
      </c>
      <c r="H31">
        <v>10.668048032826</v>
      </c>
      <c r="J31" t="s">
        <v>3</v>
      </c>
      <c r="K31">
        <f t="shared" si="0"/>
        <v>6.0401805132241897</v>
      </c>
    </row>
    <row r="32" spans="1:11" x14ac:dyDescent="0.3">
      <c r="A32">
        <v>2.5</v>
      </c>
      <c r="B32">
        <v>5.85011005019674</v>
      </c>
      <c r="C32">
        <v>5.9965775155338701</v>
      </c>
      <c r="D32">
        <v>14.1670882789481</v>
      </c>
      <c r="E32">
        <v>14.126219565831899</v>
      </c>
      <c r="F32">
        <v>9.9063833850731697</v>
      </c>
      <c r="G32">
        <v>14.1670882789481</v>
      </c>
      <c r="H32">
        <v>14.1670882789481</v>
      </c>
      <c r="J32" t="s">
        <v>2</v>
      </c>
      <c r="K32">
        <f t="shared" si="0"/>
        <v>5.85011005019674</v>
      </c>
    </row>
    <row r="33" spans="1:11" x14ac:dyDescent="0.3">
      <c r="A33" t="s">
        <v>12</v>
      </c>
    </row>
    <row r="34" spans="1:11" x14ac:dyDescent="0.3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11" x14ac:dyDescent="0.3">
      <c r="A35">
        <v>0.2</v>
      </c>
      <c r="B35">
        <v>0.236076468716861</v>
      </c>
      <c r="C35">
        <v>0.31134668822905698</v>
      </c>
      <c r="D35">
        <v>0.32298422197309401</v>
      </c>
      <c r="E35">
        <v>0.32274893721973202</v>
      </c>
      <c r="F35">
        <v>0.48603666704035797</v>
      </c>
      <c r="G35">
        <v>1.6093083150224201</v>
      </c>
      <c r="H35">
        <v>1.78112985426009</v>
      </c>
      <c r="J35" t="s">
        <v>2</v>
      </c>
      <c r="K35">
        <f t="shared" si="0"/>
        <v>0.236076468716861</v>
      </c>
    </row>
    <row r="36" spans="1:11" x14ac:dyDescent="0.3">
      <c r="A36">
        <v>0.5</v>
      </c>
      <c r="B36">
        <v>2.4262617168610801</v>
      </c>
      <c r="C36">
        <v>2.0920248366914098</v>
      </c>
      <c r="D36">
        <v>4.6380656636771302</v>
      </c>
      <c r="E36">
        <v>4.6449722141255503</v>
      </c>
      <c r="F36">
        <v>2.3558078577827599</v>
      </c>
      <c r="G36">
        <v>4.6380656636771302</v>
      </c>
      <c r="H36">
        <v>4.6380656636771302</v>
      </c>
      <c r="J36" t="s">
        <v>3</v>
      </c>
      <c r="K36">
        <f t="shared" si="0"/>
        <v>2.0920248366914098</v>
      </c>
    </row>
    <row r="37" spans="1:11" x14ac:dyDescent="0.3">
      <c r="A37">
        <v>1</v>
      </c>
      <c r="B37">
        <v>5.2761926808059396</v>
      </c>
      <c r="C37">
        <v>4.6310258685047803</v>
      </c>
      <c r="D37">
        <v>10.1535557600897</v>
      </c>
      <c r="E37">
        <v>10.169691957399101</v>
      </c>
      <c r="F37">
        <v>4.8081201858902602</v>
      </c>
      <c r="G37">
        <v>12.975027903587501</v>
      </c>
      <c r="H37">
        <v>12.419218090807201</v>
      </c>
      <c r="J37" t="s">
        <v>3</v>
      </c>
      <c r="K37">
        <f t="shared" si="0"/>
        <v>4.6310258685047803</v>
      </c>
    </row>
    <row r="38" spans="1:11" x14ac:dyDescent="0.3">
      <c r="A38">
        <v>1.5</v>
      </c>
      <c r="B38">
        <v>7.6979026778607</v>
      </c>
      <c r="C38">
        <v>8.1175743296019895</v>
      </c>
      <c r="D38">
        <v>18.1057503654709</v>
      </c>
      <c r="E38">
        <v>18.273800713004501</v>
      </c>
      <c r="F38">
        <v>10.907595024636001</v>
      </c>
      <c r="G38">
        <v>18.1057503654709</v>
      </c>
      <c r="H38">
        <v>18.1057503654709</v>
      </c>
      <c r="J38" t="s">
        <v>2</v>
      </c>
      <c r="K38">
        <f t="shared" si="0"/>
        <v>7.6979026778607</v>
      </c>
    </row>
    <row r="39" spans="1:11" x14ac:dyDescent="0.3">
      <c r="A39">
        <v>2</v>
      </c>
      <c r="B39">
        <v>15.9596789880478</v>
      </c>
      <c r="C39">
        <v>16.658257739043801</v>
      </c>
      <c r="D39">
        <v>21.320093692049198</v>
      </c>
      <c r="E39">
        <v>21.466458090705501</v>
      </c>
      <c r="F39">
        <v>22.0353165039194</v>
      </c>
      <c r="G39">
        <v>22.468657592385199</v>
      </c>
      <c r="H39">
        <v>20.953354599104099</v>
      </c>
      <c r="J39" t="s">
        <v>2</v>
      </c>
      <c r="K39">
        <f t="shared" si="0"/>
        <v>15.9596789880478</v>
      </c>
    </row>
    <row r="40" spans="1:11" x14ac:dyDescent="0.3">
      <c r="A40">
        <v>2.5</v>
      </c>
      <c r="B40">
        <v>12.0645733360489</v>
      </c>
      <c r="C40">
        <v>11.78229999389</v>
      </c>
      <c r="D40">
        <v>31.386305530795099</v>
      </c>
      <c r="E40">
        <v>32.019765777155598</v>
      </c>
      <c r="F40">
        <v>17.616638714445699</v>
      </c>
      <c r="G40">
        <v>31.386305530795099</v>
      </c>
      <c r="H40">
        <v>31.386305530795099</v>
      </c>
      <c r="J40" t="s">
        <v>3</v>
      </c>
      <c r="K40">
        <f t="shared" si="0"/>
        <v>11.78229999389</v>
      </c>
    </row>
    <row r="41" spans="1:11" x14ac:dyDescent="0.3">
      <c r="A41" t="s">
        <v>13</v>
      </c>
    </row>
    <row r="42" spans="1:11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11" x14ac:dyDescent="0.3">
      <c r="A43">
        <v>0.2</v>
      </c>
      <c r="B43">
        <v>0.40470894024333798</v>
      </c>
      <c r="C43">
        <v>0.56822482904666405</v>
      </c>
      <c r="D43">
        <v>0.55268327228194303</v>
      </c>
      <c r="E43">
        <v>0.55252698312695703</v>
      </c>
      <c r="F43">
        <v>0.81554624796585096</v>
      </c>
      <c r="G43">
        <v>2.2459089435297201</v>
      </c>
      <c r="H43">
        <v>2.35243328868459</v>
      </c>
      <c r="J43" t="s">
        <v>2</v>
      </c>
      <c r="K43">
        <f>MIN(B43:H43)</f>
        <v>0.40470894024333798</v>
      </c>
    </row>
    <row r="44" spans="1:11" x14ac:dyDescent="0.3">
      <c r="A44">
        <v>0.5</v>
      </c>
      <c r="B44">
        <v>4.08135841197352</v>
      </c>
      <c r="C44">
        <v>4.1265364910440496</v>
      </c>
      <c r="D44">
        <v>6.8880969552238698</v>
      </c>
      <c r="E44">
        <v>6.8836116331802302</v>
      </c>
      <c r="F44">
        <v>4.0817232066889702</v>
      </c>
      <c r="G44">
        <v>6.8880969552238698</v>
      </c>
      <c r="H44">
        <v>6.8880969552238698</v>
      </c>
      <c r="J44" t="s">
        <v>2</v>
      </c>
      <c r="K44">
        <f t="shared" ref="K44:K48" si="1">MIN(B44:H44)</f>
        <v>4.08135841197352</v>
      </c>
    </row>
    <row r="45" spans="1:11" x14ac:dyDescent="0.3">
      <c r="A45">
        <v>1</v>
      </c>
      <c r="B45">
        <v>8.9594598809809494</v>
      </c>
      <c r="C45">
        <v>9.5298808269593192</v>
      </c>
      <c r="D45">
        <v>12.643353352682499</v>
      </c>
      <c r="E45">
        <v>12.619426837730799</v>
      </c>
      <c r="F45">
        <v>9.5216544952677094</v>
      </c>
      <c r="G45">
        <v>14.925890397830599</v>
      </c>
      <c r="H45">
        <v>15.043529663784099</v>
      </c>
      <c r="J45" t="s">
        <v>2</v>
      </c>
      <c r="K45">
        <f t="shared" si="1"/>
        <v>8.9594598809809494</v>
      </c>
    </row>
    <row r="46" spans="1:11" x14ac:dyDescent="0.3">
      <c r="A46">
        <v>1.5</v>
      </c>
      <c r="B46">
        <v>14.554149955769599</v>
      </c>
      <c r="C46">
        <v>15.4177377159426</v>
      </c>
      <c r="D46">
        <v>23.475666404706601</v>
      </c>
      <c r="E46">
        <v>23.3188969572922</v>
      </c>
      <c r="F46">
        <v>16.071868408323201</v>
      </c>
      <c r="G46">
        <v>23.475666404706601</v>
      </c>
      <c r="H46">
        <v>23.475666404706601</v>
      </c>
      <c r="J46" t="s">
        <v>2</v>
      </c>
      <c r="K46">
        <f t="shared" si="1"/>
        <v>14.554149955769599</v>
      </c>
    </row>
    <row r="47" spans="1:11" x14ac:dyDescent="0.3">
      <c r="A47">
        <v>2</v>
      </c>
      <c r="B47">
        <v>25.584856275144901</v>
      </c>
      <c r="C47">
        <v>26.079781398104199</v>
      </c>
      <c r="D47">
        <v>39.974267347028501</v>
      </c>
      <c r="E47">
        <v>39.758762456640397</v>
      </c>
      <c r="F47">
        <v>26.2856848216732</v>
      </c>
      <c r="G47">
        <v>42.081521651000401</v>
      </c>
      <c r="H47">
        <v>43.0593541947269</v>
      </c>
      <c r="J47" t="s">
        <v>2</v>
      </c>
      <c r="K47">
        <f t="shared" si="1"/>
        <v>25.584856275144901</v>
      </c>
    </row>
    <row r="48" spans="1:11" x14ac:dyDescent="0.3">
      <c r="A48">
        <v>2.5</v>
      </c>
      <c r="B48">
        <v>20.0925948818834</v>
      </c>
      <c r="C48">
        <v>22.458345846767799</v>
      </c>
      <c r="D48">
        <v>33.5562350499928</v>
      </c>
      <c r="E48">
        <v>33.117063722727899</v>
      </c>
      <c r="F48">
        <v>22.6277838286464</v>
      </c>
      <c r="G48">
        <v>33.5562350499928</v>
      </c>
      <c r="H48">
        <v>33.5562350499928</v>
      </c>
      <c r="J48" t="s">
        <v>2</v>
      </c>
      <c r="K48">
        <f t="shared" si="1"/>
        <v>20.0925948818834</v>
      </c>
    </row>
  </sheetData>
  <conditionalFormatting sqref="B3:H8">
    <cfRule type="expression" dxfId="47" priority="6">
      <formula>B3 = MIN($B3:$H3)</formula>
    </cfRule>
  </conditionalFormatting>
  <conditionalFormatting sqref="B11:H16">
    <cfRule type="expression" dxfId="46" priority="5">
      <formula>B11 = MIN($B11:$H11)</formula>
    </cfRule>
  </conditionalFormatting>
  <conditionalFormatting sqref="B19:H24">
    <cfRule type="expression" dxfId="45" priority="4">
      <formula>B19 = MIN($B19:$H19)</formula>
    </cfRule>
  </conditionalFormatting>
  <conditionalFormatting sqref="B27:H32">
    <cfRule type="expression" dxfId="44" priority="3">
      <formula>B27 = MIN($B27:$H27)</formula>
    </cfRule>
  </conditionalFormatting>
  <conditionalFormatting sqref="B35:H40">
    <cfRule type="expression" dxfId="43" priority="2">
      <formula>B35 = MIN($B35:$H35)</formula>
    </cfRule>
  </conditionalFormatting>
  <conditionalFormatting sqref="B43:H48">
    <cfRule type="expression" dxfId="42" priority="1">
      <formula>B43 = MIN($B43:$H43)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"/>
  <sheetViews>
    <sheetView topLeftCell="A43" workbookViewId="0">
      <selection sqref="A1:H48"/>
    </sheetView>
  </sheetViews>
  <sheetFormatPr baseColWidth="10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1" x14ac:dyDescent="0.3">
      <c r="A3">
        <v>0.2</v>
      </c>
      <c r="B3">
        <v>0.99367744327540797</v>
      </c>
      <c r="C3">
        <v>0.99275015571677605</v>
      </c>
      <c r="D3">
        <v>0.99182473677062899</v>
      </c>
      <c r="E3">
        <v>0.99182510157155401</v>
      </c>
      <c r="F3">
        <v>0.98931295291578603</v>
      </c>
      <c r="G3">
        <v>0.983315524737853</v>
      </c>
      <c r="H3">
        <v>0.98354310725274097</v>
      </c>
      <c r="J3" t="s">
        <v>2</v>
      </c>
      <c r="K3">
        <f>MAX(B3:H3)</f>
        <v>0.99367744327540797</v>
      </c>
    </row>
    <row r="4" spans="1:11" x14ac:dyDescent="0.3">
      <c r="A4">
        <v>0.5</v>
      </c>
      <c r="B4">
        <v>0.97922219588950199</v>
      </c>
      <c r="C4">
        <v>0.97688406827111496</v>
      </c>
      <c r="D4">
        <v>0.96650702982876902</v>
      </c>
      <c r="E4">
        <v>0.96629990904492902</v>
      </c>
      <c r="F4">
        <v>0.96931806338644899</v>
      </c>
      <c r="G4">
        <v>0.96650702982876902</v>
      </c>
      <c r="H4">
        <v>0.96650702982876902</v>
      </c>
      <c r="J4" t="s">
        <v>2</v>
      </c>
      <c r="K4">
        <f t="shared" ref="K4:K48" si="0">MAX(B4:H4)</f>
        <v>0.97922219588950199</v>
      </c>
    </row>
    <row r="5" spans="1:11" x14ac:dyDescent="0.3">
      <c r="A5">
        <v>1</v>
      </c>
      <c r="B5">
        <v>0.96217277220302599</v>
      </c>
      <c r="C5">
        <v>0.95794270696109696</v>
      </c>
      <c r="D5">
        <v>0.94390538155339798</v>
      </c>
      <c r="E5">
        <v>0.943929841434755</v>
      </c>
      <c r="F5">
        <v>0.94340809820384897</v>
      </c>
      <c r="G5">
        <v>0.93961014190813597</v>
      </c>
      <c r="H5">
        <v>0.94036486710480405</v>
      </c>
      <c r="J5" t="s">
        <v>2</v>
      </c>
      <c r="K5">
        <f t="shared" si="0"/>
        <v>0.96217277220302599</v>
      </c>
    </row>
    <row r="6" spans="1:11" x14ac:dyDescent="0.3">
      <c r="A6">
        <v>1.5</v>
      </c>
      <c r="B6">
        <v>0.95119976114718297</v>
      </c>
      <c r="C6">
        <v>0.94480856988498196</v>
      </c>
      <c r="D6">
        <v>0.92037480163383201</v>
      </c>
      <c r="E6">
        <v>0.92013456012665196</v>
      </c>
      <c r="F6">
        <v>0.92296695177121701</v>
      </c>
      <c r="G6">
        <v>0.92037480163383201</v>
      </c>
      <c r="H6">
        <v>0.92037480163383201</v>
      </c>
      <c r="J6" t="s">
        <v>2</v>
      </c>
      <c r="K6">
        <f t="shared" si="0"/>
        <v>0.95119976114718297</v>
      </c>
    </row>
    <row r="7" spans="1:11" x14ac:dyDescent="0.3">
      <c r="A7">
        <v>2</v>
      </c>
      <c r="B7">
        <v>0.938363885022927</v>
      </c>
      <c r="C7">
        <v>0.92888052729088999</v>
      </c>
      <c r="D7">
        <v>0.90304981229970605</v>
      </c>
      <c r="E7">
        <v>0.90309221666532902</v>
      </c>
      <c r="F7">
        <v>0.90206995294866898</v>
      </c>
      <c r="G7">
        <v>0.89991581099351603</v>
      </c>
      <c r="H7">
        <v>0.90088838128133097</v>
      </c>
      <c r="J7" t="s">
        <v>2</v>
      </c>
      <c r="K7">
        <f t="shared" si="0"/>
        <v>0.938363885022927</v>
      </c>
    </row>
    <row r="8" spans="1:11" x14ac:dyDescent="0.3">
      <c r="A8">
        <v>2.5</v>
      </c>
      <c r="B8">
        <v>0.93068144122861496</v>
      </c>
      <c r="C8">
        <v>0.91734563599809205</v>
      </c>
      <c r="D8">
        <v>0.88605887887451895</v>
      </c>
      <c r="E8">
        <v>0.88580415146785296</v>
      </c>
      <c r="F8">
        <v>0.88614497977499096</v>
      </c>
      <c r="G8">
        <v>0.88605887887451895</v>
      </c>
      <c r="H8">
        <v>0.88605887887451895</v>
      </c>
      <c r="J8" t="s">
        <v>2</v>
      </c>
      <c r="K8">
        <f t="shared" si="0"/>
        <v>0.93068144122861496</v>
      </c>
    </row>
    <row r="9" spans="1:11" x14ac:dyDescent="0.3">
      <c r="A9" t="s">
        <v>9</v>
      </c>
    </row>
    <row r="10" spans="1:11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11" x14ac:dyDescent="0.3">
      <c r="A11">
        <v>0.2</v>
      </c>
      <c r="B11">
        <v>0.99347861835639695</v>
      </c>
      <c r="C11">
        <v>0.99267510041147999</v>
      </c>
      <c r="D11">
        <v>0.99247250598762105</v>
      </c>
      <c r="E11">
        <v>0.99247221248136197</v>
      </c>
      <c r="F11">
        <v>0.99049070026854602</v>
      </c>
      <c r="G11">
        <v>0.98500943902798099</v>
      </c>
      <c r="H11">
        <v>0.98463260925631002</v>
      </c>
      <c r="J11" t="s">
        <v>2</v>
      </c>
      <c r="K11">
        <f t="shared" si="0"/>
        <v>0.99347861835639695</v>
      </c>
    </row>
    <row r="12" spans="1:11" x14ac:dyDescent="0.3">
      <c r="A12">
        <v>0.5</v>
      </c>
      <c r="B12">
        <v>0.97984807489619696</v>
      </c>
      <c r="C12">
        <v>0.97803090660822201</v>
      </c>
      <c r="D12">
        <v>0.96967762113712697</v>
      </c>
      <c r="E12">
        <v>0.96966804847205401</v>
      </c>
      <c r="F12">
        <v>0.97392636097672003</v>
      </c>
      <c r="G12">
        <v>0.96967762113712697</v>
      </c>
      <c r="H12">
        <v>0.96967762113712697</v>
      </c>
      <c r="J12" t="s">
        <v>2</v>
      </c>
      <c r="K12">
        <f t="shared" si="0"/>
        <v>0.97984807489619696</v>
      </c>
    </row>
    <row r="13" spans="1:11" x14ac:dyDescent="0.3">
      <c r="A13">
        <v>1</v>
      </c>
      <c r="B13">
        <v>0.96463461998103495</v>
      </c>
      <c r="C13">
        <v>0.96035303115236503</v>
      </c>
      <c r="D13">
        <v>0.950417338510962</v>
      </c>
      <c r="E13">
        <v>0.95041772352989096</v>
      </c>
      <c r="F13">
        <v>0.95230253385663599</v>
      </c>
      <c r="G13">
        <v>0.94625156642935504</v>
      </c>
      <c r="H13">
        <v>0.94624094980887996</v>
      </c>
      <c r="J13" t="s">
        <v>2</v>
      </c>
      <c r="K13">
        <f t="shared" si="0"/>
        <v>0.96463461998103495</v>
      </c>
    </row>
    <row r="14" spans="1:11" x14ac:dyDescent="0.3">
      <c r="A14">
        <v>1.5</v>
      </c>
      <c r="B14">
        <v>0.95481581076889399</v>
      </c>
      <c r="C14">
        <v>0.947259318059677</v>
      </c>
      <c r="D14">
        <v>0.92882484707620705</v>
      </c>
      <c r="E14">
        <v>0.92884064903862495</v>
      </c>
      <c r="F14">
        <v>0.933462821845503</v>
      </c>
      <c r="G14">
        <v>0.92882484707620705</v>
      </c>
      <c r="H14">
        <v>0.92882484707620705</v>
      </c>
      <c r="J14" t="s">
        <v>2</v>
      </c>
      <c r="K14">
        <f t="shared" si="0"/>
        <v>0.95481581076889399</v>
      </c>
    </row>
    <row r="15" spans="1:11" x14ac:dyDescent="0.3">
      <c r="A15">
        <v>2</v>
      </c>
      <c r="B15">
        <v>0.941947611251721</v>
      </c>
      <c r="C15">
        <v>0.93147437461406501</v>
      </c>
      <c r="D15">
        <v>0.91202780209614098</v>
      </c>
      <c r="E15">
        <v>0.91206710731237395</v>
      </c>
      <c r="F15">
        <v>0.91356968175962106</v>
      </c>
      <c r="G15">
        <v>0.90878515999172504</v>
      </c>
      <c r="H15">
        <v>0.90898781889491498</v>
      </c>
      <c r="J15" t="s">
        <v>2</v>
      </c>
      <c r="K15">
        <f t="shared" si="0"/>
        <v>0.941947611251721</v>
      </c>
    </row>
    <row r="16" spans="1:11" x14ac:dyDescent="0.3">
      <c r="A16">
        <v>2.5</v>
      </c>
      <c r="B16">
        <v>0.93082751898223204</v>
      </c>
      <c r="C16">
        <v>0.91497223259907701</v>
      </c>
      <c r="D16">
        <v>0.89378511403316296</v>
      </c>
      <c r="E16">
        <v>0.89374090349892898</v>
      </c>
      <c r="F16">
        <v>0.89435159158359201</v>
      </c>
      <c r="G16">
        <v>0.89378511403316296</v>
      </c>
      <c r="H16">
        <v>0.89378511403316296</v>
      </c>
      <c r="J16" t="s">
        <v>2</v>
      </c>
      <c r="K16">
        <f t="shared" si="0"/>
        <v>0.93082751898223204</v>
      </c>
    </row>
    <row r="17" spans="1:11" x14ac:dyDescent="0.3">
      <c r="A17" t="s">
        <v>10</v>
      </c>
    </row>
    <row r="18" spans="1:11" x14ac:dyDescent="0.3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11" x14ac:dyDescent="0.3">
      <c r="A19">
        <v>0.2</v>
      </c>
      <c r="B19">
        <v>0.99306315592242</v>
      </c>
      <c r="C19">
        <v>0.99177855274781801</v>
      </c>
      <c r="D19">
        <v>0.99103954205505096</v>
      </c>
      <c r="E19">
        <v>0.99104082756881895</v>
      </c>
      <c r="F19">
        <v>0.98817893144596802</v>
      </c>
      <c r="G19">
        <v>0.97999137293502203</v>
      </c>
      <c r="H19">
        <v>0.98037264221751197</v>
      </c>
      <c r="J19" t="s">
        <v>2</v>
      </c>
      <c r="K19">
        <f t="shared" si="0"/>
        <v>0.99306315592242</v>
      </c>
    </row>
    <row r="20" spans="1:11" x14ac:dyDescent="0.3">
      <c r="A20">
        <v>0.5</v>
      </c>
      <c r="B20">
        <v>0.97488585656966198</v>
      </c>
      <c r="C20">
        <v>0.971106876163771</v>
      </c>
      <c r="D20">
        <v>0.95846698254691598</v>
      </c>
      <c r="E20">
        <v>0.95817097658838202</v>
      </c>
      <c r="F20">
        <v>0.96235992908537304</v>
      </c>
      <c r="G20">
        <v>0.95846698254691598</v>
      </c>
      <c r="H20">
        <v>0.95846698254691598</v>
      </c>
      <c r="J20" t="s">
        <v>2</v>
      </c>
      <c r="K20">
        <f t="shared" si="0"/>
        <v>0.97488585656966198</v>
      </c>
    </row>
    <row r="21" spans="1:11" x14ac:dyDescent="0.3">
      <c r="A21">
        <v>1</v>
      </c>
      <c r="B21">
        <v>0.95182565231312</v>
      </c>
      <c r="C21">
        <v>0.94697207750092505</v>
      </c>
      <c r="D21">
        <v>0.92717455302837504</v>
      </c>
      <c r="E21">
        <v>0.92722059052428496</v>
      </c>
      <c r="F21">
        <v>0.92784005941727798</v>
      </c>
      <c r="G21">
        <v>0.92222194815245295</v>
      </c>
      <c r="H21">
        <v>0.92294692105070597</v>
      </c>
      <c r="J21" t="s">
        <v>2</v>
      </c>
      <c r="K21">
        <f t="shared" si="0"/>
        <v>0.95182565231312</v>
      </c>
    </row>
    <row r="22" spans="1:11" x14ac:dyDescent="0.3">
      <c r="A22">
        <v>1.5</v>
      </c>
      <c r="B22">
        <v>0.9416596578484</v>
      </c>
      <c r="C22">
        <v>0.93569435267188805</v>
      </c>
      <c r="D22">
        <v>0.89878993093871296</v>
      </c>
      <c r="E22">
        <v>0.89827229484238502</v>
      </c>
      <c r="F22">
        <v>0.90088757210867099</v>
      </c>
      <c r="G22">
        <v>0.89878993093871296</v>
      </c>
      <c r="H22">
        <v>0.89878993093871296</v>
      </c>
      <c r="J22" t="s">
        <v>2</v>
      </c>
      <c r="K22">
        <f t="shared" si="0"/>
        <v>0.9416596578484</v>
      </c>
    </row>
    <row r="23" spans="1:11" x14ac:dyDescent="0.3">
      <c r="A23">
        <v>2</v>
      </c>
      <c r="B23">
        <v>0.91645699741274</v>
      </c>
      <c r="C23">
        <v>0.90597321580763202</v>
      </c>
      <c r="D23">
        <v>0.87763295794672702</v>
      </c>
      <c r="E23">
        <v>0.87741246584106902</v>
      </c>
      <c r="F23">
        <v>0.86882220164963497</v>
      </c>
      <c r="G23">
        <v>0.87463021310985301</v>
      </c>
      <c r="H23">
        <v>0.87705683279876701</v>
      </c>
      <c r="J23" t="s">
        <v>2</v>
      </c>
      <c r="K23">
        <f t="shared" si="0"/>
        <v>0.91645699741274</v>
      </c>
    </row>
    <row r="24" spans="1:11" x14ac:dyDescent="0.3">
      <c r="A24">
        <v>2.5</v>
      </c>
      <c r="B24">
        <v>0.915806882548999</v>
      </c>
      <c r="C24">
        <v>0.90640261133220001</v>
      </c>
      <c r="D24">
        <v>0.86592785032071795</v>
      </c>
      <c r="E24">
        <v>0.86467154269217505</v>
      </c>
      <c r="F24">
        <v>0.86133196246063604</v>
      </c>
      <c r="G24">
        <v>0.86592785032071795</v>
      </c>
      <c r="H24">
        <v>0.86592785032071795</v>
      </c>
      <c r="J24" t="s">
        <v>2</v>
      </c>
      <c r="K24">
        <f t="shared" si="0"/>
        <v>0.915806882548999</v>
      </c>
    </row>
    <row r="25" spans="1:11" x14ac:dyDescent="0.3">
      <c r="A25" t="s">
        <v>11</v>
      </c>
    </row>
    <row r="26" spans="1:11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11" x14ac:dyDescent="0.3">
      <c r="A27">
        <v>0.2</v>
      </c>
      <c r="B27">
        <v>0.99401100872021897</v>
      </c>
      <c r="C27">
        <v>0.99293850894425295</v>
      </c>
      <c r="D27">
        <v>0.99262764653362101</v>
      </c>
      <c r="E27">
        <v>0.99262668214677297</v>
      </c>
      <c r="F27">
        <v>0.99040519633428203</v>
      </c>
      <c r="G27">
        <v>0.98417702328678902</v>
      </c>
      <c r="H27">
        <v>0.98365776721817799</v>
      </c>
      <c r="J27" t="s">
        <v>2</v>
      </c>
      <c r="K27">
        <f t="shared" si="0"/>
        <v>0.99401100872021897</v>
      </c>
    </row>
    <row r="28" spans="1:11" x14ac:dyDescent="0.3">
      <c r="A28">
        <v>0.5</v>
      </c>
      <c r="B28">
        <v>0.97774675135649802</v>
      </c>
      <c r="C28">
        <v>0.97530672521317296</v>
      </c>
      <c r="D28">
        <v>0.96717740763127003</v>
      </c>
      <c r="E28">
        <v>0.967166581799765</v>
      </c>
      <c r="F28">
        <v>0.97095197561380697</v>
      </c>
      <c r="G28">
        <v>0.96717740763127003</v>
      </c>
      <c r="H28">
        <v>0.96717740763127003</v>
      </c>
      <c r="J28" t="s">
        <v>2</v>
      </c>
      <c r="K28">
        <f t="shared" si="0"/>
        <v>0.97774675135649802</v>
      </c>
    </row>
    <row r="29" spans="1:11" x14ac:dyDescent="0.3">
      <c r="A29">
        <v>1</v>
      </c>
      <c r="B29">
        <v>0.95845642620530302</v>
      </c>
      <c r="C29">
        <v>0.95621302934504704</v>
      </c>
      <c r="D29">
        <v>0.946859805880371</v>
      </c>
      <c r="E29">
        <v>0.94684009739776998</v>
      </c>
      <c r="F29">
        <v>0.94982463785816196</v>
      </c>
      <c r="G29">
        <v>0.94261829553903398</v>
      </c>
      <c r="H29">
        <v>0.94172630727168005</v>
      </c>
      <c r="J29" t="s">
        <v>2</v>
      </c>
      <c r="K29">
        <f t="shared" si="0"/>
        <v>0.95845642620530302</v>
      </c>
    </row>
    <row r="30" spans="1:11" x14ac:dyDescent="0.3">
      <c r="A30">
        <v>1.5</v>
      </c>
      <c r="B30">
        <v>0.94362959031093396</v>
      </c>
      <c r="C30">
        <v>0.94182089328829999</v>
      </c>
      <c r="D30">
        <v>0.92356811987564302</v>
      </c>
      <c r="E30">
        <v>0.92355300949712804</v>
      </c>
      <c r="F30">
        <v>0.93283811914328596</v>
      </c>
      <c r="G30">
        <v>0.92356811987564302</v>
      </c>
      <c r="H30">
        <v>0.92356811987564302</v>
      </c>
      <c r="J30" t="s">
        <v>2</v>
      </c>
      <c r="K30">
        <f t="shared" si="0"/>
        <v>0.94362959031093396</v>
      </c>
    </row>
    <row r="31" spans="1:11" x14ac:dyDescent="0.3">
      <c r="A31">
        <v>2</v>
      </c>
      <c r="B31">
        <v>0.93405513798335005</v>
      </c>
      <c r="C31">
        <v>0.93289178267109296</v>
      </c>
      <c r="D31">
        <v>0.90748503769739697</v>
      </c>
      <c r="E31">
        <v>0.90755647345898605</v>
      </c>
      <c r="F31">
        <v>0.92393061543061095</v>
      </c>
      <c r="G31">
        <v>0.90417258081167995</v>
      </c>
      <c r="H31">
        <v>0.90333640640141499</v>
      </c>
      <c r="J31" t="s">
        <v>2</v>
      </c>
      <c r="K31">
        <f t="shared" si="0"/>
        <v>0.93405513798335005</v>
      </c>
    </row>
    <row r="32" spans="1:11" x14ac:dyDescent="0.3">
      <c r="A32">
        <v>2.5</v>
      </c>
      <c r="B32">
        <v>0.93922898711165403</v>
      </c>
      <c r="C32">
        <v>0.93564965685343604</v>
      </c>
      <c r="D32">
        <v>0.89097631609035999</v>
      </c>
      <c r="E32">
        <v>0.89121032498527997</v>
      </c>
      <c r="F32">
        <v>0.91284851156914604</v>
      </c>
      <c r="G32">
        <v>0.89097631609035999</v>
      </c>
      <c r="H32">
        <v>0.89097631609035999</v>
      </c>
      <c r="J32" t="s">
        <v>2</v>
      </c>
      <c r="K32">
        <f t="shared" si="0"/>
        <v>0.93922898711165403</v>
      </c>
    </row>
    <row r="33" spans="1:11" x14ac:dyDescent="0.3">
      <c r="A33" t="s">
        <v>12</v>
      </c>
    </row>
    <row r="34" spans="1:11" x14ac:dyDescent="0.3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11" x14ac:dyDescent="0.3">
      <c r="A35">
        <v>0.2</v>
      </c>
      <c r="B35">
        <v>0.99343510286320302</v>
      </c>
      <c r="C35">
        <v>0.99263237645811297</v>
      </c>
      <c r="D35">
        <v>0.99249308744394804</v>
      </c>
      <c r="E35">
        <v>0.99249381950672699</v>
      </c>
      <c r="F35">
        <v>0.99125899775784798</v>
      </c>
      <c r="G35">
        <v>0.98350488565022398</v>
      </c>
      <c r="H35">
        <v>0.98318577690582898</v>
      </c>
      <c r="J35" t="s">
        <v>2</v>
      </c>
      <c r="K35">
        <f t="shared" si="0"/>
        <v>0.99343510286320302</v>
      </c>
    </row>
    <row r="36" spans="1:11" x14ac:dyDescent="0.3">
      <c r="A36">
        <v>0.5</v>
      </c>
      <c r="B36">
        <v>0.97859443584305295</v>
      </c>
      <c r="C36">
        <v>0.97774330116649</v>
      </c>
      <c r="D36">
        <v>0.96828090695067304</v>
      </c>
      <c r="E36">
        <v>0.96827296748878899</v>
      </c>
      <c r="F36">
        <v>0.97361890481523095</v>
      </c>
      <c r="G36">
        <v>0.96828090695067304</v>
      </c>
      <c r="H36">
        <v>0.96828090695067304</v>
      </c>
      <c r="J36" t="s">
        <v>2</v>
      </c>
      <c r="K36">
        <f t="shared" si="0"/>
        <v>0.97859443584305295</v>
      </c>
    </row>
    <row r="37" spans="1:11" x14ac:dyDescent="0.3">
      <c r="A37">
        <v>1</v>
      </c>
      <c r="B37">
        <v>0.96677463732767799</v>
      </c>
      <c r="C37">
        <v>0.96677169671261898</v>
      </c>
      <c r="D37">
        <v>0.94766390695067404</v>
      </c>
      <c r="E37">
        <v>0.94760459304932798</v>
      </c>
      <c r="F37">
        <v>0.95940376259798499</v>
      </c>
      <c r="G37">
        <v>0.94098106278026905</v>
      </c>
      <c r="H37">
        <v>0.94172809529148005</v>
      </c>
      <c r="J37" t="s">
        <v>2</v>
      </c>
      <c r="K37">
        <f t="shared" si="0"/>
        <v>0.96677463732767799</v>
      </c>
    </row>
    <row r="38" spans="1:11" x14ac:dyDescent="0.3">
      <c r="A38">
        <v>1.5</v>
      </c>
      <c r="B38">
        <v>0.95478900124378097</v>
      </c>
      <c r="C38">
        <v>0.95769859577114502</v>
      </c>
      <c r="D38">
        <v>0.91062724215246704</v>
      </c>
      <c r="E38">
        <v>0.91066462331838505</v>
      </c>
      <c r="F38">
        <v>0.94312030347144504</v>
      </c>
      <c r="G38">
        <v>0.91062724215246704</v>
      </c>
      <c r="H38">
        <v>0.91062724215246704</v>
      </c>
      <c r="J38" t="s">
        <v>3</v>
      </c>
      <c r="K38">
        <f t="shared" si="0"/>
        <v>0.95769859577114502</v>
      </c>
    </row>
    <row r="39" spans="1:11" x14ac:dyDescent="0.3">
      <c r="A39">
        <v>2</v>
      </c>
      <c r="B39">
        <v>0.94767756772908296</v>
      </c>
      <c r="C39">
        <v>0.94380331673306705</v>
      </c>
      <c r="D39">
        <v>0.90727585106383002</v>
      </c>
      <c r="E39">
        <v>0.90728071668532795</v>
      </c>
      <c r="F39">
        <v>0.917825341545353</v>
      </c>
      <c r="G39">
        <v>0.90515536954087406</v>
      </c>
      <c r="H39">
        <v>0.90505583090705499</v>
      </c>
      <c r="J39" t="s">
        <v>2</v>
      </c>
      <c r="K39">
        <f t="shared" si="0"/>
        <v>0.94767756772908296</v>
      </c>
    </row>
    <row r="40" spans="1:11" x14ac:dyDescent="0.3">
      <c r="A40">
        <v>2.5</v>
      </c>
      <c r="B40">
        <v>0.94832672097759796</v>
      </c>
      <c r="C40">
        <v>0.94444763747454097</v>
      </c>
      <c r="D40">
        <v>0.87276326987682196</v>
      </c>
      <c r="E40">
        <v>0.87203834938409897</v>
      </c>
      <c r="F40">
        <v>0.93826701679731195</v>
      </c>
      <c r="G40">
        <v>0.87276326987682196</v>
      </c>
      <c r="H40">
        <v>0.87276326987682196</v>
      </c>
      <c r="J40" t="s">
        <v>2</v>
      </c>
      <c r="K40">
        <f t="shared" si="0"/>
        <v>0.94832672097759796</v>
      </c>
    </row>
    <row r="41" spans="1:11" x14ac:dyDescent="0.3">
      <c r="A41" t="s">
        <v>13</v>
      </c>
    </row>
    <row r="42" spans="1:11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11" x14ac:dyDescent="0.3">
      <c r="A43">
        <v>0.2</v>
      </c>
      <c r="B43">
        <v>0.98883510565223198</v>
      </c>
      <c r="C43">
        <v>0.98642292037578005</v>
      </c>
      <c r="D43">
        <v>0.98568537107088094</v>
      </c>
      <c r="E43">
        <v>0.98568751911823904</v>
      </c>
      <c r="F43">
        <v>0.98130461131118096</v>
      </c>
      <c r="G43">
        <v>0.97028322207101803</v>
      </c>
      <c r="H43">
        <v>0.96967539702969396</v>
      </c>
      <c r="J43" t="s">
        <v>2</v>
      </c>
      <c r="K43">
        <f t="shared" si="0"/>
        <v>0.98883510565223198</v>
      </c>
    </row>
    <row r="44" spans="1:11" x14ac:dyDescent="0.3">
      <c r="A44">
        <v>0.5</v>
      </c>
      <c r="B44">
        <v>0.95585000177505197</v>
      </c>
      <c r="C44">
        <v>0.94716680167823197</v>
      </c>
      <c r="D44">
        <v>0.93453894245120395</v>
      </c>
      <c r="E44">
        <v>0.93456128860505305</v>
      </c>
      <c r="F44">
        <v>0.93842049498327995</v>
      </c>
      <c r="G44">
        <v>0.93453894245120395</v>
      </c>
      <c r="H44">
        <v>0.93453894245120395</v>
      </c>
      <c r="J44" t="s">
        <v>2</v>
      </c>
      <c r="K44">
        <f t="shared" si="0"/>
        <v>0.95585000177505197</v>
      </c>
    </row>
    <row r="45" spans="1:11" x14ac:dyDescent="0.3">
      <c r="A45">
        <v>1</v>
      </c>
      <c r="B45">
        <v>0.90306637883724905</v>
      </c>
      <c r="C45">
        <v>0.88641534453781401</v>
      </c>
      <c r="D45">
        <v>0.88803349516270902</v>
      </c>
      <c r="E45">
        <v>0.88813514878334598</v>
      </c>
      <c r="F45">
        <v>0.87823295281233105</v>
      </c>
      <c r="G45">
        <v>0.880651380826736</v>
      </c>
      <c r="H45">
        <v>0.87761135082749497</v>
      </c>
      <c r="J45" t="s">
        <v>2</v>
      </c>
      <c r="K45">
        <f t="shared" si="0"/>
        <v>0.90306637883724905</v>
      </c>
    </row>
    <row r="46" spans="1:11" x14ac:dyDescent="0.3">
      <c r="A46">
        <v>1.5</v>
      </c>
      <c r="B46">
        <v>0.847597589148813</v>
      </c>
      <c r="C46">
        <v>0.84093903499115397</v>
      </c>
      <c r="D46">
        <v>0.82508451249273795</v>
      </c>
      <c r="E46">
        <v>0.82531954895409898</v>
      </c>
      <c r="F46">
        <v>0.84456646155924897</v>
      </c>
      <c r="G46">
        <v>0.82508451249273795</v>
      </c>
      <c r="H46">
        <v>0.82508451249273795</v>
      </c>
      <c r="J46" t="s">
        <v>2</v>
      </c>
      <c r="K46">
        <f t="shared" si="0"/>
        <v>0.847597589148813</v>
      </c>
    </row>
    <row r="47" spans="1:11" x14ac:dyDescent="0.3">
      <c r="A47">
        <v>2</v>
      </c>
      <c r="B47">
        <v>0.79838124960505596</v>
      </c>
      <c r="C47">
        <v>0.78470326040020999</v>
      </c>
      <c r="D47">
        <v>0.77695419633110796</v>
      </c>
      <c r="E47">
        <v>0.777361253335352</v>
      </c>
      <c r="F47">
        <v>0.799061190949373</v>
      </c>
      <c r="G47">
        <v>0.77012381322013201</v>
      </c>
      <c r="H47">
        <v>0.76609342568609096</v>
      </c>
      <c r="J47" t="s">
        <v>6</v>
      </c>
      <c r="K47">
        <f t="shared" si="0"/>
        <v>0.799061190949373</v>
      </c>
    </row>
    <row r="48" spans="1:11" x14ac:dyDescent="0.3">
      <c r="A48">
        <v>2.5</v>
      </c>
      <c r="B48">
        <v>0.79899572984836198</v>
      </c>
      <c r="C48">
        <v>0.79206011851556202</v>
      </c>
      <c r="D48">
        <v>0.76450389409044905</v>
      </c>
      <c r="E48">
        <v>0.76513966088715202</v>
      </c>
      <c r="F48">
        <v>0.80634225795006698</v>
      </c>
      <c r="G48">
        <v>0.76450389409044905</v>
      </c>
      <c r="H48">
        <v>0.76450389409044905</v>
      </c>
      <c r="J48" t="s">
        <v>6</v>
      </c>
      <c r="K48">
        <f t="shared" si="0"/>
        <v>0.80634225795006698</v>
      </c>
    </row>
  </sheetData>
  <conditionalFormatting sqref="B3:H8">
    <cfRule type="expression" dxfId="41" priority="7">
      <formula>B3 = MAX($B3:$H3)</formula>
    </cfRule>
  </conditionalFormatting>
  <conditionalFormatting sqref="B11:H16">
    <cfRule type="expression" dxfId="40" priority="6">
      <formula>B11 = MAX($B11:$H11)</formula>
    </cfRule>
  </conditionalFormatting>
  <conditionalFormatting sqref="B19:H24">
    <cfRule type="expression" dxfId="39" priority="5">
      <formula>B19 = MAX($B19:$H19)</formula>
    </cfRule>
  </conditionalFormatting>
  <conditionalFormatting sqref="B27:H32">
    <cfRule type="expression" dxfId="38" priority="4">
      <formula>B27 = MAX($B27:$H27)</formula>
    </cfRule>
  </conditionalFormatting>
  <conditionalFormatting sqref="B35:H40">
    <cfRule type="expression" dxfId="37" priority="3">
      <formula>B35 = MAX($B35:$H35)</formula>
    </cfRule>
  </conditionalFormatting>
  <conditionalFormatting sqref="B43:H48">
    <cfRule type="expression" dxfId="36" priority="2">
      <formula>B43 = MAX($B43:$H43)</formula>
    </cfRule>
  </conditionalFormatting>
  <conditionalFormatting sqref="K3:K48">
    <cfRule type="expression" dxfId="35" priority="1">
      <formula>T3 = MAX($B3:$H3)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zoomScaleNormal="100" workbookViewId="0">
      <selection activeCell="H8" sqref="H8"/>
    </sheetView>
  </sheetViews>
  <sheetFormatPr baseColWidth="10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1" x14ac:dyDescent="0.3">
      <c r="A3">
        <v>0.2</v>
      </c>
      <c r="B3">
        <v>0.95414952387154095</v>
      </c>
      <c r="C3">
        <v>0.93528212213224704</v>
      </c>
      <c r="D3">
        <v>0.93098483458312697</v>
      </c>
      <c r="E3">
        <v>0.93098013408298796</v>
      </c>
      <c r="F3">
        <v>0.89528065771294296</v>
      </c>
      <c r="G3">
        <v>0.72552526615382196</v>
      </c>
      <c r="H3">
        <v>0.70456643689708098</v>
      </c>
      <c r="J3" t="s">
        <v>2</v>
      </c>
      <c r="K3">
        <f>MAX(B3:H3)</f>
        <v>0.95414952387154095</v>
      </c>
    </row>
    <row r="4" spans="1:11" x14ac:dyDescent="0.3">
      <c r="A4">
        <v>0.5</v>
      </c>
      <c r="B4">
        <v>0.56677229623122405</v>
      </c>
      <c r="C4">
        <v>0.53244142043913001</v>
      </c>
      <c r="D4">
        <v>0.16269180329312999</v>
      </c>
      <c r="E4">
        <v>0.16213404269614701</v>
      </c>
      <c r="F4">
        <v>0.442534273573019</v>
      </c>
      <c r="G4">
        <v>0.16269180329312999</v>
      </c>
      <c r="H4">
        <v>0.16269180329312999</v>
      </c>
      <c r="J4" t="s">
        <v>2</v>
      </c>
      <c r="K4">
        <f t="shared" ref="K4:K48" si="0">MAX(B4:H4)</f>
        <v>0.56677229623122405</v>
      </c>
    </row>
    <row r="5" spans="1:11" x14ac:dyDescent="0.3">
      <c r="A5">
        <v>1</v>
      </c>
      <c r="B5">
        <v>-0.118578793725159</v>
      </c>
      <c r="C5">
        <v>-0.15786383070443699</v>
      </c>
      <c r="D5">
        <v>-0.73978422487113804</v>
      </c>
      <c r="E5">
        <v>-0.74040658588951702</v>
      </c>
      <c r="F5">
        <v>-0.41819504684706099</v>
      </c>
      <c r="G5">
        <v>-0.95199563426100597</v>
      </c>
      <c r="H5">
        <v>-0.93102558465943297</v>
      </c>
      <c r="J5" t="s">
        <v>2</v>
      </c>
      <c r="K5">
        <f t="shared" si="0"/>
        <v>-0.118578793725159</v>
      </c>
    </row>
    <row r="6" spans="1:11" x14ac:dyDescent="0.3">
      <c r="A6">
        <v>1.5</v>
      </c>
      <c r="B6">
        <v>-0.50836865850300705</v>
      </c>
      <c r="C6">
        <v>-0.52777507645195398</v>
      </c>
      <c r="D6">
        <v>-1.93083548320374</v>
      </c>
      <c r="E6">
        <v>-1.93409142443004</v>
      </c>
      <c r="F6">
        <v>-1.3039525636911899</v>
      </c>
      <c r="G6">
        <v>-1.93083548320374</v>
      </c>
      <c r="H6">
        <v>-1.93083548320374</v>
      </c>
      <c r="J6" t="s">
        <v>2</v>
      </c>
      <c r="K6">
        <f t="shared" si="0"/>
        <v>-0.50836865850300705</v>
      </c>
    </row>
    <row r="7" spans="1:11" x14ac:dyDescent="0.3">
      <c r="A7">
        <v>2</v>
      </c>
      <c r="B7">
        <v>-1.1329135420427401</v>
      </c>
      <c r="C7">
        <v>-1.2097417068033101</v>
      </c>
      <c r="D7">
        <v>-2.3163906999408099</v>
      </c>
      <c r="E7">
        <v>-2.3031257212369902</v>
      </c>
      <c r="F7">
        <v>-2.0850244875753798</v>
      </c>
      <c r="G7">
        <v>-2.4106870070023101</v>
      </c>
      <c r="H7">
        <v>-2.4329845718407799</v>
      </c>
      <c r="J7" t="s">
        <v>2</v>
      </c>
      <c r="K7">
        <f t="shared" si="0"/>
        <v>-1.1329135420427401</v>
      </c>
    </row>
    <row r="8" spans="1:11" x14ac:dyDescent="0.3">
      <c r="A8">
        <v>2.5</v>
      </c>
      <c r="B8">
        <v>-0.57987447740887799</v>
      </c>
      <c r="C8">
        <v>-0.65776350986362597</v>
      </c>
      <c r="D8">
        <v>-2.5204579667966001</v>
      </c>
      <c r="E8">
        <v>-2.5326800554918099</v>
      </c>
      <c r="F8">
        <v>-2.2400183601775598</v>
      </c>
      <c r="G8">
        <v>-2.5204579667966001</v>
      </c>
      <c r="H8">
        <v>-2.5204579667966001</v>
      </c>
      <c r="J8" t="s">
        <v>2</v>
      </c>
      <c r="K8">
        <f t="shared" si="0"/>
        <v>-0.57987447740887799</v>
      </c>
    </row>
    <row r="9" spans="1:11" x14ac:dyDescent="0.3">
      <c r="A9" t="s">
        <v>9</v>
      </c>
    </row>
    <row r="10" spans="1:11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11" x14ac:dyDescent="0.3">
      <c r="A11">
        <v>0.2</v>
      </c>
      <c r="B11">
        <v>0.96673026366442005</v>
      </c>
      <c r="C11">
        <v>0.95131378463825</v>
      </c>
      <c r="D11">
        <v>0.94378254003796402</v>
      </c>
      <c r="E11">
        <v>0.94375571766686295</v>
      </c>
      <c r="F11">
        <v>0.91171790755535198</v>
      </c>
      <c r="G11">
        <v>0.77975537598852596</v>
      </c>
      <c r="H11">
        <v>0.75161316198530603</v>
      </c>
      <c r="J11" t="s">
        <v>2</v>
      </c>
      <c r="K11">
        <f t="shared" si="0"/>
        <v>0.96673026366442005</v>
      </c>
    </row>
    <row r="12" spans="1:11" x14ac:dyDescent="0.3">
      <c r="A12">
        <v>0.5</v>
      </c>
      <c r="B12">
        <v>0.63504738501844404</v>
      </c>
      <c r="C12">
        <v>0.60627827583772997</v>
      </c>
      <c r="D12">
        <v>0.28175217973025102</v>
      </c>
      <c r="E12">
        <v>0.28057079588384598</v>
      </c>
      <c r="F12">
        <v>0.50072994201770304</v>
      </c>
      <c r="G12">
        <v>0.28175217973025102</v>
      </c>
      <c r="H12">
        <v>0.28175217973025102</v>
      </c>
      <c r="J12" t="s">
        <v>2</v>
      </c>
      <c r="K12">
        <f t="shared" si="0"/>
        <v>0.63504738501844404</v>
      </c>
    </row>
    <row r="13" spans="1:11" x14ac:dyDescent="0.3">
      <c r="A13">
        <v>1</v>
      </c>
      <c r="B13">
        <v>-3.3984832523903601E-2</v>
      </c>
      <c r="C13">
        <v>-3.1785583738048899E-2</v>
      </c>
      <c r="D13">
        <v>-0.568666394329569</v>
      </c>
      <c r="E13">
        <v>-0.57245408765655603</v>
      </c>
      <c r="F13">
        <v>-0.191855218060626</v>
      </c>
      <c r="G13">
        <v>-0.75614511499813297</v>
      </c>
      <c r="H13">
        <v>-0.73235643798917904</v>
      </c>
      <c r="J13" t="s">
        <v>3</v>
      </c>
      <c r="K13">
        <f t="shared" si="0"/>
        <v>-3.1785583738048899E-2</v>
      </c>
    </row>
    <row r="14" spans="1:11" x14ac:dyDescent="0.3">
      <c r="A14">
        <v>1.5</v>
      </c>
      <c r="B14">
        <v>-0.241444646084709</v>
      </c>
      <c r="C14">
        <v>-0.20855186141371701</v>
      </c>
      <c r="D14">
        <v>-1.53509290276917</v>
      </c>
      <c r="E14">
        <v>-1.5394867339418099</v>
      </c>
      <c r="F14">
        <v>-0.86191273184896899</v>
      </c>
      <c r="G14">
        <v>-1.53509290276917</v>
      </c>
      <c r="H14">
        <v>-1.53509290276917</v>
      </c>
      <c r="J14" t="s">
        <v>3</v>
      </c>
      <c r="K14">
        <f t="shared" si="0"/>
        <v>-0.20855186141371701</v>
      </c>
    </row>
    <row r="15" spans="1:11" x14ac:dyDescent="0.3">
      <c r="A15">
        <v>2</v>
      </c>
      <c r="B15">
        <v>-0.98164974520423098</v>
      </c>
      <c r="C15">
        <v>-0.937674345054896</v>
      </c>
      <c r="D15">
        <v>-2.1178535288276499</v>
      </c>
      <c r="E15">
        <v>-2.1097409435627799</v>
      </c>
      <c r="F15">
        <v>-1.78434130562964</v>
      </c>
      <c r="G15">
        <v>-2.2078372045921801</v>
      </c>
      <c r="H15">
        <v>-2.3244498887544598</v>
      </c>
      <c r="J15" t="s">
        <v>3</v>
      </c>
      <c r="K15">
        <f t="shared" si="0"/>
        <v>-0.937674345054896</v>
      </c>
    </row>
    <row r="16" spans="1:11" x14ac:dyDescent="0.3">
      <c r="A16">
        <v>2.5</v>
      </c>
      <c r="B16">
        <v>-0.52419162442453804</v>
      </c>
      <c r="C16">
        <v>-0.53163358287362295</v>
      </c>
      <c r="D16">
        <v>-2.1778184199072199</v>
      </c>
      <c r="E16">
        <v>-2.1777041559771</v>
      </c>
      <c r="F16">
        <v>-1.7456946438944401</v>
      </c>
      <c r="G16">
        <v>-2.1778184199072199</v>
      </c>
      <c r="H16">
        <v>-2.1778184199072199</v>
      </c>
      <c r="J16" t="s">
        <v>2</v>
      </c>
      <c r="K16">
        <f t="shared" si="0"/>
        <v>-0.52419162442453804</v>
      </c>
    </row>
    <row r="17" spans="1:11" x14ac:dyDescent="0.3">
      <c r="A17" t="s">
        <v>10</v>
      </c>
    </row>
    <row r="18" spans="1:11" x14ac:dyDescent="0.3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11" x14ac:dyDescent="0.3">
      <c r="A19">
        <v>0.2</v>
      </c>
      <c r="B19">
        <v>0.93057373480083405</v>
      </c>
      <c r="C19">
        <v>0.90737540214136203</v>
      </c>
      <c r="D19">
        <v>0.91026673222962196</v>
      </c>
      <c r="E19">
        <v>0.91028717531042003</v>
      </c>
      <c r="F19">
        <v>0.87098335370004898</v>
      </c>
      <c r="G19">
        <v>0.693283470757596</v>
      </c>
      <c r="H19">
        <v>0.70528054218841296</v>
      </c>
      <c r="J19" t="s">
        <v>2</v>
      </c>
      <c r="K19">
        <f t="shared" si="0"/>
        <v>0.93057373480083405</v>
      </c>
    </row>
    <row r="20" spans="1:11" x14ac:dyDescent="0.3">
      <c r="A20">
        <v>0.5</v>
      </c>
      <c r="B20">
        <v>0.52596677531066405</v>
      </c>
      <c r="C20">
        <v>0.49030420108293599</v>
      </c>
      <c r="D20">
        <v>0.20336960069229401</v>
      </c>
      <c r="E20">
        <v>0.205306543018386</v>
      </c>
      <c r="F20">
        <v>0.43720844528369202</v>
      </c>
      <c r="G20">
        <v>0.20336960069229401</v>
      </c>
      <c r="H20">
        <v>0.20336960069229401</v>
      </c>
      <c r="J20" t="s">
        <v>2</v>
      </c>
      <c r="K20">
        <f t="shared" si="0"/>
        <v>0.52596677531066405</v>
      </c>
    </row>
    <row r="21" spans="1:11" x14ac:dyDescent="0.3">
      <c r="A21">
        <v>1</v>
      </c>
      <c r="B21">
        <v>8.9983290382171593E-2</v>
      </c>
      <c r="C21">
        <v>-2.2179994088912601E-2</v>
      </c>
      <c r="D21">
        <v>-0.49463102209062298</v>
      </c>
      <c r="E21">
        <v>-0.486263063837517</v>
      </c>
      <c r="F21">
        <v>-0.36397089755887901</v>
      </c>
      <c r="G21">
        <v>-0.65329994542746395</v>
      </c>
      <c r="H21">
        <v>-0.65409167806517898</v>
      </c>
      <c r="J21" t="s">
        <v>2</v>
      </c>
      <c r="K21">
        <f t="shared" si="0"/>
        <v>8.9983290382171593E-2</v>
      </c>
    </row>
    <row r="22" spans="1:11" x14ac:dyDescent="0.3">
      <c r="A22">
        <v>1.5</v>
      </c>
      <c r="B22">
        <v>5.54415275552394E-2</v>
      </c>
      <c r="C22">
        <v>-5.4527833480059303E-2</v>
      </c>
      <c r="D22">
        <v>-2.0650904038141298</v>
      </c>
      <c r="E22">
        <v>-2.0695159814266599</v>
      </c>
      <c r="F22">
        <v>-1.20101819132333</v>
      </c>
      <c r="G22">
        <v>-2.0650904038141298</v>
      </c>
      <c r="H22">
        <v>-2.0650904038141298</v>
      </c>
      <c r="J22" t="s">
        <v>2</v>
      </c>
      <c r="K22">
        <f t="shared" si="0"/>
        <v>5.54415275552394E-2</v>
      </c>
    </row>
    <row r="23" spans="1:11" x14ac:dyDescent="0.3">
      <c r="A23">
        <v>2</v>
      </c>
      <c r="B23">
        <v>0.17928474660105601</v>
      </c>
      <c r="C23">
        <v>0.108751271053166</v>
      </c>
      <c r="D23">
        <v>-1.7558003898533301</v>
      </c>
      <c r="E23">
        <v>-1.7410841859847299</v>
      </c>
      <c r="F23">
        <v>-2.2525352426394298</v>
      </c>
      <c r="G23">
        <v>-1.78901554407362</v>
      </c>
      <c r="H23">
        <v>-1.7120397124259401</v>
      </c>
      <c r="J23" t="s">
        <v>2</v>
      </c>
      <c r="K23">
        <f t="shared" si="0"/>
        <v>0.17928474660105601</v>
      </c>
    </row>
    <row r="24" spans="1:11" x14ac:dyDescent="0.3">
      <c r="A24">
        <v>2.5</v>
      </c>
      <c r="B24">
        <v>0.21739260670579999</v>
      </c>
      <c r="C24">
        <v>0.12560928400159199</v>
      </c>
      <c r="D24">
        <v>-1.5653993372510999</v>
      </c>
      <c r="E24">
        <v>-1.66203785795182</v>
      </c>
      <c r="F24">
        <v>-2.3672469256370001</v>
      </c>
      <c r="G24">
        <v>-1.5653993372510999</v>
      </c>
      <c r="H24">
        <v>-1.5653993372510999</v>
      </c>
      <c r="J24" t="s">
        <v>2</v>
      </c>
      <c r="K24">
        <f t="shared" si="0"/>
        <v>0.21739260670579999</v>
      </c>
    </row>
    <row r="25" spans="1:11" x14ac:dyDescent="0.3">
      <c r="A25" t="s">
        <v>11</v>
      </c>
    </row>
    <row r="26" spans="1:11" x14ac:dyDescent="0.3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11" x14ac:dyDescent="0.3">
      <c r="A27">
        <v>0.2</v>
      </c>
      <c r="B27">
        <v>0.92220016409883798</v>
      </c>
      <c r="C27">
        <v>0.886739502292064</v>
      </c>
      <c r="D27">
        <v>0.89353981633739499</v>
      </c>
      <c r="E27">
        <v>0.89352826368390204</v>
      </c>
      <c r="F27">
        <v>0.82956433466149704</v>
      </c>
      <c r="G27">
        <v>0.54799132774760695</v>
      </c>
      <c r="H27">
        <v>0.398354690745225</v>
      </c>
      <c r="J27" t="s">
        <v>2</v>
      </c>
      <c r="K27">
        <f t="shared" si="0"/>
        <v>0.92220016409883798</v>
      </c>
    </row>
    <row r="28" spans="1:11" x14ac:dyDescent="0.3">
      <c r="A28">
        <v>0.5</v>
      </c>
      <c r="B28">
        <v>0.17934248481432</v>
      </c>
      <c r="C28">
        <v>0.105755595025013</v>
      </c>
      <c r="D28">
        <v>-0.50022154897855997</v>
      </c>
      <c r="E28">
        <v>-0.50121349211549104</v>
      </c>
      <c r="F28">
        <v>7.1985962390784294E-2</v>
      </c>
      <c r="G28">
        <v>-0.50022154897855997</v>
      </c>
      <c r="H28">
        <v>-0.50022154897855997</v>
      </c>
      <c r="J28" t="s">
        <v>2</v>
      </c>
      <c r="K28">
        <f t="shared" si="0"/>
        <v>0.17934248481432</v>
      </c>
    </row>
    <row r="29" spans="1:11" x14ac:dyDescent="0.3">
      <c r="A29">
        <v>1</v>
      </c>
      <c r="B29">
        <v>-1.29748552990314</v>
      </c>
      <c r="C29">
        <v>-1.42168731120153</v>
      </c>
      <c r="D29">
        <v>-2.0903646928354198</v>
      </c>
      <c r="E29">
        <v>-2.0935336991551199</v>
      </c>
      <c r="F29">
        <v>-1.4082864266697701</v>
      </c>
      <c r="G29">
        <v>-2.3874448261237098</v>
      </c>
      <c r="H29">
        <v>-2.66359883622594</v>
      </c>
      <c r="J29" t="s">
        <v>2</v>
      </c>
      <c r="K29">
        <f t="shared" si="0"/>
        <v>-1.29748552990314</v>
      </c>
    </row>
    <row r="30" spans="1:11" x14ac:dyDescent="0.3">
      <c r="A30">
        <v>1.5</v>
      </c>
      <c r="B30">
        <v>-2.7410018439889701</v>
      </c>
      <c r="C30">
        <v>-2.6373016206669302</v>
      </c>
      <c r="D30">
        <v>-4.0746360034845397</v>
      </c>
      <c r="E30">
        <v>-4.0642832440216203</v>
      </c>
      <c r="F30">
        <v>-2.5548129773203399</v>
      </c>
      <c r="G30">
        <v>-4.0746360034845397</v>
      </c>
      <c r="H30">
        <v>-4.0746360034845397</v>
      </c>
      <c r="J30" t="s">
        <v>6</v>
      </c>
      <c r="K30">
        <f t="shared" si="0"/>
        <v>-2.5548129773203399</v>
      </c>
    </row>
    <row r="31" spans="1:11" x14ac:dyDescent="0.3">
      <c r="A31">
        <v>2</v>
      </c>
      <c r="B31">
        <v>-3.9850646298027299</v>
      </c>
      <c r="C31">
        <v>-4.2640205588633</v>
      </c>
      <c r="D31">
        <v>-4.1588619698759999</v>
      </c>
      <c r="E31">
        <v>-4.1298361016810903</v>
      </c>
      <c r="F31">
        <v>-3.2752488796041099</v>
      </c>
      <c r="G31">
        <v>-4.2863624560365601</v>
      </c>
      <c r="H31">
        <v>-4.47830068228338</v>
      </c>
      <c r="J31" t="s">
        <v>6</v>
      </c>
      <c r="K31">
        <f t="shared" si="0"/>
        <v>-3.2752488796041099</v>
      </c>
    </row>
    <row r="32" spans="1:11" x14ac:dyDescent="0.3">
      <c r="A32">
        <v>2.5</v>
      </c>
      <c r="B32">
        <v>-2.10377880567993</v>
      </c>
      <c r="C32">
        <v>-2.4317976152941698</v>
      </c>
      <c r="D32">
        <v>-4.9356931140946703</v>
      </c>
      <c r="E32">
        <v>-4.8691180840347901</v>
      </c>
      <c r="F32">
        <v>-3.5626367865359199</v>
      </c>
      <c r="G32">
        <v>-4.9356931140946703</v>
      </c>
      <c r="H32">
        <v>-4.9356931140946703</v>
      </c>
      <c r="J32" t="s">
        <v>2</v>
      </c>
      <c r="K32">
        <f t="shared" si="0"/>
        <v>-2.10377880567993</v>
      </c>
    </row>
    <row r="33" spans="1:11" x14ac:dyDescent="0.3">
      <c r="A33" t="s">
        <v>12</v>
      </c>
    </row>
    <row r="34" spans="1:11" x14ac:dyDescent="0.3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11" x14ac:dyDescent="0.3">
      <c r="A35">
        <v>0.2</v>
      </c>
      <c r="B35">
        <v>0.99377759172852698</v>
      </c>
      <c r="C35">
        <v>0.99194161611876996</v>
      </c>
      <c r="D35">
        <v>0.99185078475336397</v>
      </c>
      <c r="E35">
        <v>0.99185629708520195</v>
      </c>
      <c r="F35">
        <v>0.98790989013453001</v>
      </c>
      <c r="G35">
        <v>0.95956765470852001</v>
      </c>
      <c r="H35">
        <v>0.95497639125560496</v>
      </c>
      <c r="J35" t="s">
        <v>2</v>
      </c>
      <c r="K35">
        <f t="shared" si="0"/>
        <v>0.99377759172852698</v>
      </c>
    </row>
    <row r="36" spans="1:11" x14ac:dyDescent="0.3">
      <c r="A36">
        <v>0.5</v>
      </c>
      <c r="B36">
        <v>0.93798876033934298</v>
      </c>
      <c r="C36">
        <v>0.94502306362672395</v>
      </c>
      <c r="D36">
        <v>0.88421355156950698</v>
      </c>
      <c r="E36">
        <v>0.88405535650224298</v>
      </c>
      <c r="F36">
        <v>0.93806480627099698</v>
      </c>
      <c r="G36">
        <v>0.88421355156950698</v>
      </c>
      <c r="H36">
        <v>0.88421355156950698</v>
      </c>
      <c r="J36" t="s">
        <v>3</v>
      </c>
      <c r="K36">
        <f t="shared" si="0"/>
        <v>0.94502306362672395</v>
      </c>
    </row>
    <row r="37" spans="1:11" x14ac:dyDescent="0.3">
      <c r="A37">
        <v>1</v>
      </c>
      <c r="B37">
        <v>0.86535847295864299</v>
      </c>
      <c r="C37">
        <v>0.87555334888653302</v>
      </c>
      <c r="D37">
        <v>0.73390558856502297</v>
      </c>
      <c r="E37">
        <v>0.73350257286995602</v>
      </c>
      <c r="F37">
        <v>0.87100039417693198</v>
      </c>
      <c r="G37">
        <v>0.64876013677129996</v>
      </c>
      <c r="H37">
        <v>0.64405714237668099</v>
      </c>
      <c r="J37" t="s">
        <v>3</v>
      </c>
      <c r="K37">
        <f t="shared" si="0"/>
        <v>0.87555334888653302</v>
      </c>
    </row>
    <row r="38" spans="1:11" x14ac:dyDescent="0.3">
      <c r="A38">
        <v>1.5</v>
      </c>
      <c r="B38">
        <v>0.77551972512437795</v>
      </c>
      <c r="C38">
        <v>0.76425166169154202</v>
      </c>
      <c r="D38">
        <v>0.49847639461883397</v>
      </c>
      <c r="E38">
        <v>0.49346453363228698</v>
      </c>
      <c r="F38">
        <v>0.70644743225083995</v>
      </c>
      <c r="G38">
        <v>0.49847639461883397</v>
      </c>
      <c r="H38">
        <v>0.49847639461883397</v>
      </c>
      <c r="J38" t="s">
        <v>2</v>
      </c>
      <c r="K38">
        <f t="shared" si="0"/>
        <v>0.77551972512437795</v>
      </c>
    </row>
    <row r="39" spans="1:11" x14ac:dyDescent="0.3">
      <c r="A39">
        <v>2</v>
      </c>
      <c r="B39">
        <v>0.50405806374502005</v>
      </c>
      <c r="C39">
        <v>0.47005723505976099</v>
      </c>
      <c r="D39">
        <v>0.31911768980963001</v>
      </c>
      <c r="E39">
        <v>0.31321891489361697</v>
      </c>
      <c r="F39">
        <v>0.324232771556551</v>
      </c>
      <c r="G39">
        <v>0.28447684770436699</v>
      </c>
      <c r="H39">
        <v>0.32648410078387502</v>
      </c>
      <c r="J39" t="s">
        <v>2</v>
      </c>
      <c r="K39">
        <f t="shared" si="0"/>
        <v>0.50405806374502005</v>
      </c>
    </row>
    <row r="40" spans="1:11" x14ac:dyDescent="0.3">
      <c r="A40">
        <v>2.5</v>
      </c>
      <c r="B40">
        <v>0.55169747861507201</v>
      </c>
      <c r="C40">
        <v>0.54529247657841096</v>
      </c>
      <c r="D40">
        <v>0.22794183202687601</v>
      </c>
      <c r="E40">
        <v>0.213403801791713</v>
      </c>
      <c r="F40">
        <v>0.49311894288913799</v>
      </c>
      <c r="G40">
        <v>0.22794183202687601</v>
      </c>
      <c r="H40">
        <v>0.22794183202687601</v>
      </c>
      <c r="J40" t="s">
        <v>2</v>
      </c>
      <c r="K40">
        <f t="shared" si="0"/>
        <v>0.55169747861507201</v>
      </c>
    </row>
    <row r="41" spans="1:11" x14ac:dyDescent="0.3">
      <c r="A41" t="s">
        <v>13</v>
      </c>
    </row>
    <row r="42" spans="1:11" x14ac:dyDescent="0.3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11" x14ac:dyDescent="0.3">
      <c r="A43">
        <v>0.2</v>
      </c>
      <c r="B43">
        <v>0.80166464792853698</v>
      </c>
      <c r="C43">
        <v>0.71455750408131702</v>
      </c>
      <c r="D43">
        <v>0.74991933882160799</v>
      </c>
      <c r="E43">
        <v>0.74997708327664003</v>
      </c>
      <c r="F43">
        <v>0.625529115246099</v>
      </c>
      <c r="G43">
        <v>-0.13028757273098401</v>
      </c>
      <c r="H43">
        <v>-0.32239898826025698</v>
      </c>
      <c r="J43" t="s">
        <v>2</v>
      </c>
      <c r="K43">
        <f t="shared" si="0"/>
        <v>0.80166464792853698</v>
      </c>
    </row>
    <row r="44" spans="1:11" x14ac:dyDescent="0.3">
      <c r="A44">
        <v>0.5</v>
      </c>
      <c r="B44">
        <v>-1.15158606858157</v>
      </c>
      <c r="C44">
        <v>-1.3516087803776</v>
      </c>
      <c r="D44">
        <v>-2.68270064781861</v>
      </c>
      <c r="E44">
        <v>-2.68167290169345</v>
      </c>
      <c r="F44">
        <v>-1.0472753868896401</v>
      </c>
      <c r="G44">
        <v>-2.68270064781861</v>
      </c>
      <c r="H44">
        <v>-2.68270064781861</v>
      </c>
      <c r="J44" t="s">
        <v>6</v>
      </c>
      <c r="K44">
        <f t="shared" si="0"/>
        <v>-1.0472753868896401</v>
      </c>
    </row>
    <row r="45" spans="1:11" x14ac:dyDescent="0.3">
      <c r="A45">
        <v>1</v>
      </c>
      <c r="B45">
        <v>-4.75140955393588</v>
      </c>
      <c r="C45">
        <v>-5.26562142239752</v>
      </c>
      <c r="D45">
        <v>-6.0189516045147604</v>
      </c>
      <c r="E45">
        <v>-6.0057053025505498</v>
      </c>
      <c r="F45">
        <v>-4.28389817130879</v>
      </c>
      <c r="G45">
        <v>-6.9659255790090597</v>
      </c>
      <c r="H45">
        <v>-7.5365832987922596</v>
      </c>
      <c r="J45" t="s">
        <v>6</v>
      </c>
      <c r="K45">
        <f t="shared" si="0"/>
        <v>-4.28389817130879</v>
      </c>
    </row>
    <row r="46" spans="1:11" x14ac:dyDescent="0.3">
      <c r="A46">
        <v>1.5</v>
      </c>
      <c r="B46">
        <v>-8.9769759406329896</v>
      </c>
      <c r="C46">
        <v>-10.045331136229599</v>
      </c>
      <c r="D46">
        <v>-12.663833548373001</v>
      </c>
      <c r="E46">
        <v>-12.5758144134224</v>
      </c>
      <c r="F46">
        <v>-7.37279885137142</v>
      </c>
      <c r="G46">
        <v>-12.663833548373001</v>
      </c>
      <c r="H46">
        <v>-12.663833548373001</v>
      </c>
      <c r="J46" t="s">
        <v>6</v>
      </c>
      <c r="K46">
        <f t="shared" si="0"/>
        <v>-7.37279885137142</v>
      </c>
    </row>
    <row r="47" spans="1:11" x14ac:dyDescent="0.3">
      <c r="A47">
        <v>2</v>
      </c>
      <c r="B47">
        <v>-15.7020678185887</v>
      </c>
      <c r="C47">
        <v>-18.335437711427002</v>
      </c>
      <c r="D47">
        <v>-13.820898198908401</v>
      </c>
      <c r="E47">
        <v>-13.6958085027289</v>
      </c>
      <c r="F47">
        <v>-9.0420656927622094</v>
      </c>
      <c r="G47">
        <v>-14.278551247574301</v>
      </c>
      <c r="H47">
        <v>-14.6432234104225</v>
      </c>
      <c r="J47" t="s">
        <v>6</v>
      </c>
      <c r="K47">
        <f t="shared" si="0"/>
        <v>-9.0420656927622094</v>
      </c>
    </row>
    <row r="48" spans="1:11" x14ac:dyDescent="0.3">
      <c r="A48">
        <v>2.5</v>
      </c>
      <c r="B48">
        <v>-11.513189203910599</v>
      </c>
      <c r="C48">
        <v>-13.168334936153199</v>
      </c>
      <c r="D48">
        <v>-13.075046888888901</v>
      </c>
      <c r="E48">
        <v>-12.931419771131299</v>
      </c>
      <c r="F48">
        <v>-10.7142458503286</v>
      </c>
      <c r="G48">
        <v>-13.075046888888901</v>
      </c>
      <c r="H48">
        <v>-13.075046888888901</v>
      </c>
      <c r="J48" t="s">
        <v>6</v>
      </c>
      <c r="K48">
        <f t="shared" si="0"/>
        <v>-10.7142458503286</v>
      </c>
    </row>
  </sheetData>
  <conditionalFormatting sqref="B3:H8 K3:K48">
    <cfRule type="expression" dxfId="34" priority="1">
      <formula>K3 = MAX($B3:$H3)</formula>
    </cfRule>
  </conditionalFormatting>
  <conditionalFormatting sqref="B3:H8">
    <cfRule type="expression" dxfId="33" priority="7">
      <formula>B3 = MAX($B3:$H3)</formula>
    </cfRule>
  </conditionalFormatting>
  <conditionalFormatting sqref="B11:H16">
    <cfRule type="expression" dxfId="32" priority="6">
      <formula>B11 = MAX($B11:$H11)</formula>
    </cfRule>
  </conditionalFormatting>
  <conditionalFormatting sqref="B19:H24">
    <cfRule type="expression" dxfId="31" priority="5">
      <formula>B19 = MAX($B19:$H19)</formula>
    </cfRule>
  </conditionalFormatting>
  <conditionalFormatting sqref="B27:H32">
    <cfRule type="expression" dxfId="30" priority="4">
      <formula>B27 = MAX($B27:$H27)</formula>
    </cfRule>
  </conditionalFormatting>
  <conditionalFormatting sqref="B35:H40">
    <cfRule type="expression" dxfId="29" priority="3">
      <formula>B35 = MAX($B35:$H35)</formula>
    </cfRule>
  </conditionalFormatting>
  <conditionalFormatting sqref="B43:H48">
    <cfRule type="expression" dxfId="28" priority="2">
      <formula>B43 = MAX($B43:$H43)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22E0-ECBA-4A0D-A65D-874455B2E7B0}">
  <dimension ref="A1:CJ49"/>
  <sheetViews>
    <sheetView tabSelected="1" topLeftCell="BR1" zoomScale="50" zoomScaleNormal="50" workbookViewId="0">
      <selection activeCell="BX7" sqref="BX7:BY48"/>
    </sheetView>
  </sheetViews>
  <sheetFormatPr baseColWidth="10" defaultRowHeight="14.4" x14ac:dyDescent="0.3"/>
  <cols>
    <col min="1" max="60" width="11.5546875" customWidth="1"/>
    <col min="61" max="61" width="6.77734375" bestFit="1" customWidth="1"/>
    <col min="62" max="63" width="11.5546875" customWidth="1"/>
    <col min="74" max="75" width="0" hidden="1" customWidth="1"/>
  </cols>
  <sheetData>
    <row r="1" spans="1:88" x14ac:dyDescent="0.3">
      <c r="A1" t="s">
        <v>14</v>
      </c>
      <c r="J1" t="s">
        <v>15</v>
      </c>
      <c r="S1" t="s">
        <v>16</v>
      </c>
      <c r="AB1" t="s">
        <v>17</v>
      </c>
      <c r="AO1" t="s">
        <v>20</v>
      </c>
      <c r="AY1" t="s">
        <v>21</v>
      </c>
    </row>
    <row r="2" spans="1:88" ht="15" thickBot="1" x14ac:dyDescent="0.35">
      <c r="A2" t="s">
        <v>0</v>
      </c>
      <c r="J2" t="s">
        <v>0</v>
      </c>
      <c r="S2" t="s">
        <v>0</v>
      </c>
      <c r="AB2" t="s">
        <v>0</v>
      </c>
      <c r="AO2" t="s">
        <v>0</v>
      </c>
      <c r="AY2" t="s">
        <v>0</v>
      </c>
      <c r="BI2" t="s">
        <v>19</v>
      </c>
      <c r="BJ2" t="s">
        <v>18</v>
      </c>
      <c r="BL2" t="s">
        <v>0</v>
      </c>
      <c r="BV2" t="s">
        <v>22</v>
      </c>
      <c r="CB2" t="s">
        <v>0</v>
      </c>
    </row>
    <row r="3" spans="1:88" ht="15" thickBot="1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S3" t="s">
        <v>1</v>
      </c>
      <c r="T3" t="s">
        <v>2</v>
      </c>
      <c r="U3" t="s">
        <v>3</v>
      </c>
      <c r="V3" t="s">
        <v>4</v>
      </c>
      <c r="W3" t="s">
        <v>5</v>
      </c>
      <c r="X3" t="s">
        <v>6</v>
      </c>
      <c r="Y3" t="s">
        <v>7</v>
      </c>
      <c r="Z3" t="s">
        <v>8</v>
      </c>
      <c r="AB3" t="s">
        <v>1</v>
      </c>
      <c r="AC3" t="s">
        <v>2</v>
      </c>
      <c r="AD3" t="s">
        <v>3</v>
      </c>
      <c r="AE3" t="s">
        <v>4</v>
      </c>
      <c r="AF3" t="s">
        <v>5</v>
      </c>
      <c r="AG3" t="s">
        <v>6</v>
      </c>
      <c r="AH3" t="s">
        <v>7</v>
      </c>
      <c r="AI3" t="s">
        <v>8</v>
      </c>
      <c r="AL3" t="s">
        <v>14</v>
      </c>
      <c r="AM3" s="1">
        <v>2.227141</v>
      </c>
      <c r="AO3" t="s">
        <v>1</v>
      </c>
      <c r="AP3" t="s">
        <v>2</v>
      </c>
      <c r="AQ3" t="s">
        <v>3</v>
      </c>
      <c r="AR3" t="s">
        <v>4</v>
      </c>
      <c r="AS3" t="s">
        <v>5</v>
      </c>
      <c r="AT3" t="s">
        <v>6</v>
      </c>
      <c r="AU3" t="s">
        <v>7</v>
      </c>
      <c r="AV3" t="s">
        <v>8</v>
      </c>
      <c r="AY3" t="s">
        <v>1</v>
      </c>
      <c r="AZ3" t="s">
        <v>2</v>
      </c>
      <c r="BA3" t="s">
        <v>3</v>
      </c>
      <c r="BB3" t="s">
        <v>4</v>
      </c>
      <c r="BC3" t="s">
        <v>5</v>
      </c>
      <c r="BD3" t="s">
        <v>6</v>
      </c>
      <c r="BE3" t="s">
        <v>7</v>
      </c>
      <c r="BF3" t="s">
        <v>8</v>
      </c>
      <c r="BI3" t="s">
        <v>14</v>
      </c>
      <c r="BJ3">
        <v>0.25</v>
      </c>
      <c r="BL3" s="15" t="s">
        <v>1</v>
      </c>
      <c r="BM3" s="16" t="s">
        <v>2</v>
      </c>
      <c r="BN3" s="17" t="s">
        <v>3</v>
      </c>
      <c r="BO3" s="17" t="s">
        <v>4</v>
      </c>
      <c r="BP3" s="17" t="s">
        <v>5</v>
      </c>
      <c r="BQ3" s="17" t="s">
        <v>6</v>
      </c>
      <c r="BR3" s="17" t="s">
        <v>7</v>
      </c>
      <c r="BS3" s="17" t="s">
        <v>8</v>
      </c>
      <c r="BT3" s="18" t="s">
        <v>23</v>
      </c>
      <c r="CB3" s="15" t="s">
        <v>1</v>
      </c>
      <c r="CC3" s="16" t="s">
        <v>2</v>
      </c>
      <c r="CD3" s="17" t="s">
        <v>3</v>
      </c>
      <c r="CE3" s="17" t="s">
        <v>4</v>
      </c>
      <c r="CF3" s="17" t="s">
        <v>5</v>
      </c>
      <c r="CG3" s="17" t="s">
        <v>6</v>
      </c>
      <c r="CH3" s="17" t="s">
        <v>7</v>
      </c>
      <c r="CI3" s="17" t="s">
        <v>8</v>
      </c>
      <c r="CJ3" s="18" t="s">
        <v>23</v>
      </c>
    </row>
    <row r="4" spans="1:88" x14ac:dyDescent="0.3">
      <c r="A4">
        <v>0.2</v>
      </c>
      <c r="B4">
        <v>0.112594914820804</v>
      </c>
      <c r="C4">
        <v>0.130474139457953</v>
      </c>
      <c r="D4">
        <v>0.13575080137939299</v>
      </c>
      <c r="E4">
        <v>0.13575089287724901</v>
      </c>
      <c r="F4">
        <v>0.174731950124145</v>
      </c>
      <c r="G4">
        <v>0.287207205808721</v>
      </c>
      <c r="H4">
        <v>0.28721713159859202</v>
      </c>
      <c r="I4">
        <v>0.14631757198944501</v>
      </c>
      <c r="J4">
        <v>0.2</v>
      </c>
      <c r="K4">
        <v>7.4092761559985301E-2</v>
      </c>
      <c r="L4">
        <v>0.102327430331417</v>
      </c>
      <c r="M4">
        <v>0.108446739921454</v>
      </c>
      <c r="N4">
        <v>0.1084484498224</v>
      </c>
      <c r="O4">
        <v>0.16446848637000999</v>
      </c>
      <c r="P4">
        <v>0.46236324656931099</v>
      </c>
      <c r="Q4">
        <v>0.47316786405580902</v>
      </c>
      <c r="R4">
        <v>0.12740120619810799</v>
      </c>
      <c r="S4">
        <v>0.2</v>
      </c>
      <c r="T4">
        <v>0.99367744327540797</v>
      </c>
      <c r="U4">
        <v>0.99275015571677605</v>
      </c>
      <c r="V4">
        <v>0.99182473677062899</v>
      </c>
      <c r="W4">
        <v>0.99182510157155401</v>
      </c>
      <c r="X4">
        <v>0.98931295291578603</v>
      </c>
      <c r="Y4">
        <v>0.983315524737853</v>
      </c>
      <c r="Z4">
        <v>0.98354310725274097</v>
      </c>
      <c r="AA4">
        <v>0.98796887789148502</v>
      </c>
      <c r="AB4">
        <v>0.2</v>
      </c>
      <c r="AC4">
        <v>0.95414952387154095</v>
      </c>
      <c r="AD4">
        <v>0.93528212213224704</v>
      </c>
      <c r="AE4">
        <v>0.93098483458312697</v>
      </c>
      <c r="AF4">
        <v>0.93098013408298796</v>
      </c>
      <c r="AG4">
        <v>0.89528065771294296</v>
      </c>
      <c r="AH4">
        <v>0.72552526615382196</v>
      </c>
      <c r="AI4">
        <v>0.70456643689708098</v>
      </c>
      <c r="AJ4">
        <v>0.93045238573727196</v>
      </c>
      <c r="AL4" t="s">
        <v>15</v>
      </c>
      <c r="AM4" s="1">
        <v>10.91231</v>
      </c>
      <c r="AO4">
        <v>0.2</v>
      </c>
      <c r="AP4">
        <f t="shared" ref="AP4:AV4" si="0">1-(B4/$AM$3)</f>
        <v>0.94944419108587919</v>
      </c>
      <c r="AQ4">
        <f t="shared" si="0"/>
        <v>0.94141630931406994</v>
      </c>
      <c r="AR4">
        <f t="shared" si="0"/>
        <v>0.9390470556738918</v>
      </c>
      <c r="AS4">
        <f t="shared" si="0"/>
        <v>0.93904701459079198</v>
      </c>
      <c r="AT4">
        <f t="shared" si="0"/>
        <v>0.92154428025699986</v>
      </c>
      <c r="AU4">
        <f t="shared" si="0"/>
        <v>0.87104219903063118</v>
      </c>
      <c r="AV4">
        <f t="shared" si="0"/>
        <v>0.87103774228996189</v>
      </c>
      <c r="AW4">
        <f>1-(I4/$AM$3)</f>
        <v>0.93430251071241333</v>
      </c>
      <c r="AY4">
        <v>0.2</v>
      </c>
      <c r="AZ4">
        <f t="shared" ref="AZ4:BF4" si="1">1-(K4/$AM$4)</f>
        <v>0.99321016709019583</v>
      </c>
      <c r="BA4">
        <f t="shared" si="1"/>
        <v>0.9906227526223671</v>
      </c>
      <c r="BB4">
        <f t="shared" si="1"/>
        <v>0.99006198138419321</v>
      </c>
      <c r="BC4">
        <f t="shared" si="1"/>
        <v>0.99006182468951121</v>
      </c>
      <c r="BD4">
        <f t="shared" si="1"/>
        <v>0.98492816952872397</v>
      </c>
      <c r="BE4">
        <f t="shared" si="1"/>
        <v>0.95762920531314533</v>
      </c>
      <c r="BF4">
        <f t="shared" si="1"/>
        <v>0.9566390742147346</v>
      </c>
      <c r="BG4">
        <f t="shared" ref="BA4:BG5" si="2">1-(R4/$AM$4)</f>
        <v>0.98832500119607047</v>
      </c>
      <c r="BI4" t="s">
        <v>15</v>
      </c>
      <c r="BJ4">
        <v>0.25</v>
      </c>
      <c r="BL4" s="11">
        <v>0.2</v>
      </c>
      <c r="BM4" s="12">
        <f t="shared" ref="BM4:BS4" si="3">($BJ$3*AP4)+($BJ$4*AZ4)+($BJ$5*T4)+($BJ$6*AC4)</f>
        <v>0.97262033133075598</v>
      </c>
      <c r="BN4" s="13">
        <f t="shared" si="3"/>
        <v>0.96501783494636495</v>
      </c>
      <c r="BO4" s="13">
        <f t="shared" si="3"/>
        <v>0.96297965210296022</v>
      </c>
      <c r="BP4" s="13">
        <f t="shared" si="3"/>
        <v>0.96297851873371143</v>
      </c>
      <c r="BQ4" s="13">
        <f t="shared" si="3"/>
        <v>0.94776651510361309</v>
      </c>
      <c r="BR4" s="13">
        <f t="shared" si="3"/>
        <v>0.88437804880886284</v>
      </c>
      <c r="BS4" s="13">
        <f t="shared" si="3"/>
        <v>0.87894659016362964</v>
      </c>
      <c r="BT4" s="4">
        <f>($BJ$3*AW4)+($BJ$4*BG4)+($BJ$5*AA4)+($BJ$6*AJ4)</f>
        <v>0.96026219388431033</v>
      </c>
      <c r="BV4" t="s">
        <v>2</v>
      </c>
      <c r="BW4" s="2">
        <f>MAX(BM4:BS4)</f>
        <v>0.97262033133075598</v>
      </c>
      <c r="CB4" s="11">
        <v>0.2</v>
      </c>
      <c r="CC4" s="12">
        <v>0.97262033133075598</v>
      </c>
      <c r="CD4" s="13">
        <v>0.96501783494636495</v>
      </c>
      <c r="CE4" s="13">
        <v>0.96297965210296022</v>
      </c>
      <c r="CF4" s="13">
        <v>0.96297851873371143</v>
      </c>
      <c r="CG4" s="13">
        <v>0.94776651510361309</v>
      </c>
      <c r="CH4" s="13">
        <v>0.88437804880886284</v>
      </c>
      <c r="CI4" s="13">
        <v>0.87894659016362964</v>
      </c>
      <c r="CJ4" s="4">
        <v>0.96026219388431033</v>
      </c>
    </row>
    <row r="5" spans="1:88" x14ac:dyDescent="0.3">
      <c r="A5">
        <v>0.5</v>
      </c>
      <c r="B5">
        <v>0.39221099419602501</v>
      </c>
      <c r="C5">
        <v>0.40334044768809502</v>
      </c>
      <c r="D5">
        <v>0.55742533050908705</v>
      </c>
      <c r="E5">
        <v>0.62253766606258298</v>
      </c>
      <c r="F5">
        <v>0.460541000334317</v>
      </c>
      <c r="G5">
        <v>0.55742533050908705</v>
      </c>
      <c r="H5">
        <v>0.55742533050908705</v>
      </c>
      <c r="I5">
        <v>0.465023134725283</v>
      </c>
      <c r="J5">
        <v>0.5</v>
      </c>
      <c r="K5">
        <v>0.71812072659039194</v>
      </c>
      <c r="L5">
        <v>0.72132527742882302</v>
      </c>
      <c r="M5">
        <v>1.3917604775758601</v>
      </c>
      <c r="N5">
        <v>20.1740448713681</v>
      </c>
      <c r="O5">
        <v>0.84842262954391301</v>
      </c>
      <c r="P5">
        <v>1.3917604775758601</v>
      </c>
      <c r="Q5">
        <v>1.3917604775758601</v>
      </c>
      <c r="R5">
        <v>0.97441619737583895</v>
      </c>
      <c r="S5">
        <v>0.5</v>
      </c>
      <c r="T5">
        <v>0.97922219588950199</v>
      </c>
      <c r="U5">
        <v>0.97688406827111496</v>
      </c>
      <c r="V5">
        <v>0.96650702982876902</v>
      </c>
      <c r="W5">
        <v>0.96629990904492902</v>
      </c>
      <c r="X5">
        <v>0.96931806338644899</v>
      </c>
      <c r="Y5">
        <v>0.96650702982876902</v>
      </c>
      <c r="Z5">
        <v>0.96650702982876902</v>
      </c>
      <c r="AA5">
        <v>0.95264583534288305</v>
      </c>
      <c r="AB5">
        <v>0.5</v>
      </c>
      <c r="AC5">
        <v>0.56677229623122405</v>
      </c>
      <c r="AD5">
        <v>0.53244142043913001</v>
      </c>
      <c r="AE5">
        <v>0.16269180329312999</v>
      </c>
      <c r="AF5">
        <v>0.16213404269614701</v>
      </c>
      <c r="AG5">
        <v>0.442534273573019</v>
      </c>
      <c r="AH5">
        <v>0.16269180329312999</v>
      </c>
      <c r="AI5">
        <v>0.16269180329312999</v>
      </c>
      <c r="AJ5">
        <v>0.65551840793014204</v>
      </c>
      <c r="AO5">
        <v>0.5</v>
      </c>
      <c r="AP5">
        <f t="shared" ref="AP5:AP49" si="4">1-(B5/$AM$3)</f>
        <v>0.82389485255041106</v>
      </c>
      <c r="AQ5">
        <f t="shared" ref="AQ5:AW5" si="5">1-(C5/$AM$3)</f>
        <v>0.81889765951590177</v>
      </c>
      <c r="AR5">
        <f t="shared" si="5"/>
        <v>0.74971259991662542</v>
      </c>
      <c r="AS5">
        <f t="shared" si="5"/>
        <v>0.72047676098523494</v>
      </c>
      <c r="AT5">
        <f t="shared" si="5"/>
        <v>0.79321425974632187</v>
      </c>
      <c r="AU5">
        <f t="shared" si="5"/>
        <v>0.74971259991662542</v>
      </c>
      <c r="AV5">
        <f t="shared" si="5"/>
        <v>0.74971259991662542</v>
      </c>
      <c r="AW5">
        <f t="shared" si="5"/>
        <v>0.79120175385155989</v>
      </c>
      <c r="AY5">
        <v>0.5</v>
      </c>
      <c r="AZ5">
        <f t="shared" ref="AZ5:AZ49" si="6">1-(K5/$AM$4)</f>
        <v>0.93419168566596877</v>
      </c>
      <c r="BA5">
        <f t="shared" si="2"/>
        <v>0.93389802182775017</v>
      </c>
      <c r="BB5">
        <f t="shared" si="2"/>
        <v>0.87245959127115524</v>
      </c>
      <c r="BC5">
        <f t="shared" si="2"/>
        <v>-0.84874191361573303</v>
      </c>
      <c r="BD5">
        <f t="shared" si="2"/>
        <v>0.92225086809814671</v>
      </c>
      <c r="BE5">
        <f t="shared" si="2"/>
        <v>0.87245959127115524</v>
      </c>
      <c r="BF5">
        <f t="shared" si="2"/>
        <v>0.87245959127115524</v>
      </c>
      <c r="BG5">
        <f t="shared" si="2"/>
        <v>0.91070486474670909</v>
      </c>
      <c r="BI5" t="s">
        <v>16</v>
      </c>
      <c r="BJ5">
        <v>0.25</v>
      </c>
      <c r="BL5" s="9">
        <v>0.5</v>
      </c>
      <c r="BM5" s="7">
        <f t="shared" ref="BM5:BM9" si="7">($BJ$3*AP5)+($BJ$4*AZ5)+($BJ$5*T5)+($BJ$6*AC5)</f>
        <v>0.82602025758427655</v>
      </c>
      <c r="BN5" s="3">
        <f t="shared" ref="BN5:BN9" si="8">($BJ$3*AQ5)+($BJ$4*BA5)+($BJ$5*U5)+($BJ$6*AD5)</f>
        <v>0.81553029251347431</v>
      </c>
      <c r="BO5" s="3">
        <f t="shared" ref="BO5:BO9" si="9">($BJ$3*AR5)+($BJ$4*BB5)+($BJ$5*V5)+($BJ$6*AE5)</f>
        <v>0.68784275607741996</v>
      </c>
      <c r="BP5" s="3">
        <f t="shared" ref="BP5:BP9" si="10">($BJ$3*AS5)+($BJ$4*BC5)+($BJ$5*W5)+($BJ$6*AF5)</f>
        <v>0.25004219977764447</v>
      </c>
      <c r="BQ5" s="3">
        <f t="shared" ref="BQ5:BQ9" si="11">($BJ$3*AT5)+($BJ$4*BD5)+($BJ$5*X5)+($BJ$6*AG5)</f>
        <v>0.7818293662009842</v>
      </c>
      <c r="BR5" s="3">
        <f t="shared" ref="BR5:BR9" si="12">($BJ$3*AU5)+($BJ$4*BE5)+($BJ$5*Y5)+($BJ$6*AH5)</f>
        <v>0.68784275607741996</v>
      </c>
      <c r="BS5" s="3">
        <f t="shared" ref="BS5:BS9" si="13">($BJ$3*AV5)+($BJ$4*BF5)+($BJ$5*Z5)+($BJ$6*AI5)</f>
        <v>0.68784275607741996</v>
      </c>
      <c r="BT5" s="4">
        <f>($BJ$3*AW5)+($BJ$4*BG5)+($BJ$5*AA5)+($BJ$6*AJ5)</f>
        <v>0.82751771546782349</v>
      </c>
      <c r="BV5" t="s">
        <v>2</v>
      </c>
      <c r="BW5" s="2">
        <f t="shared" ref="BW5:BW49" si="14">MAX(BM5:BS5)</f>
        <v>0.82602025758427655</v>
      </c>
      <c r="CB5" s="9">
        <v>0.5</v>
      </c>
      <c r="CC5" s="7">
        <v>0.82602025758427655</v>
      </c>
      <c r="CD5" s="3">
        <v>0.81553029251347431</v>
      </c>
      <c r="CE5" s="3">
        <v>0.68784275607741996</v>
      </c>
      <c r="CF5" s="3">
        <v>0.25004219977764447</v>
      </c>
      <c r="CG5" s="3">
        <v>0.7818293662009842</v>
      </c>
      <c r="CH5" s="3">
        <v>0.68784275607741996</v>
      </c>
      <c r="CI5" s="3">
        <v>0.68784275607741996</v>
      </c>
      <c r="CJ5" s="4">
        <v>0.82751771546782349</v>
      </c>
    </row>
    <row r="6" spans="1:88" x14ac:dyDescent="0.3">
      <c r="A6">
        <v>1</v>
      </c>
      <c r="B6">
        <v>0.66023681465086503</v>
      </c>
      <c r="C6">
        <v>0.664218466919136</v>
      </c>
      <c r="D6">
        <v>0.83750778739458798</v>
      </c>
      <c r="E6">
        <v>0.83766747466207603</v>
      </c>
      <c r="F6">
        <v>0.76760225046642405</v>
      </c>
      <c r="G6">
        <v>0.89767001584731698</v>
      </c>
      <c r="H6">
        <v>0.89535276735389002</v>
      </c>
      <c r="I6">
        <v>0.77193228250089696</v>
      </c>
      <c r="J6">
        <v>1</v>
      </c>
      <c r="K6">
        <v>1.76217404362635</v>
      </c>
      <c r="L6">
        <v>1.72286117787566</v>
      </c>
      <c r="M6">
        <v>2.8242754052354302</v>
      </c>
      <c r="N6">
        <v>2.8230846883209</v>
      </c>
      <c r="O6">
        <v>2.0736870543289601</v>
      </c>
      <c r="P6">
        <v>3.29734894849455</v>
      </c>
      <c r="Q6">
        <v>3.28552319391035</v>
      </c>
      <c r="R6">
        <v>2.22993625581082</v>
      </c>
      <c r="S6">
        <v>1</v>
      </c>
      <c r="T6">
        <v>0.96217277220302599</v>
      </c>
      <c r="U6">
        <v>0.95794270696109696</v>
      </c>
      <c r="V6">
        <v>0.94390538155339798</v>
      </c>
      <c r="W6">
        <v>0.943929841434755</v>
      </c>
      <c r="X6">
        <v>0.94340809820384897</v>
      </c>
      <c r="Y6">
        <v>0.93961014190813597</v>
      </c>
      <c r="Z6">
        <v>0.94036486710480405</v>
      </c>
      <c r="AA6">
        <v>0.92484389273358603</v>
      </c>
      <c r="AB6">
        <v>1</v>
      </c>
      <c r="AC6">
        <v>-0.118578793725159</v>
      </c>
      <c r="AD6">
        <v>-0.15786383070443699</v>
      </c>
      <c r="AE6">
        <v>-0.73978422487113804</v>
      </c>
      <c r="AF6">
        <v>-0.74040658588951702</v>
      </c>
      <c r="AG6">
        <v>-0.41819504684706099</v>
      </c>
      <c r="AH6">
        <v>-0.95199563426100597</v>
      </c>
      <c r="AI6">
        <v>-0.93102558465943297</v>
      </c>
      <c r="AJ6">
        <v>0.21798911020706299</v>
      </c>
      <c r="AO6">
        <v>1</v>
      </c>
      <c r="AP6">
        <f t="shared" si="4"/>
        <v>0.70354961151949291</v>
      </c>
      <c r="AQ6">
        <f t="shared" ref="AQ6:AV9" si="15">1-(C6/$AM$3)</f>
        <v>0.7017618251744564</v>
      </c>
      <c r="AR6">
        <f t="shared" si="15"/>
        <v>0.62395385501205891</v>
      </c>
      <c r="AS6">
        <f t="shared" si="15"/>
        <v>0.62388215444730433</v>
      </c>
      <c r="AT6">
        <f t="shared" si="15"/>
        <v>0.65534187082612916</v>
      </c>
      <c r="AU6">
        <f t="shared" si="15"/>
        <v>0.59694064459891982</v>
      </c>
      <c r="AV6">
        <f t="shared" si="15"/>
        <v>0.5979811034173903</v>
      </c>
      <c r="AW6">
        <f t="shared" ref="AW6:AW49" si="16">1-(I6/$AM$3)</f>
        <v>0.65339765982445797</v>
      </c>
      <c r="AY6">
        <v>1</v>
      </c>
      <c r="AZ6">
        <f t="shared" si="6"/>
        <v>0.83851503085722912</v>
      </c>
      <c r="BA6">
        <f t="shared" ref="BA6:BF9" si="17">1-(L6/$AM$4)</f>
        <v>0.84211764714568593</v>
      </c>
      <c r="BB6">
        <f t="shared" si="17"/>
        <v>0.74118446000567895</v>
      </c>
      <c r="BC6">
        <f t="shared" si="17"/>
        <v>0.7412935768576131</v>
      </c>
      <c r="BD6">
        <f t="shared" si="17"/>
        <v>0.80996809526773339</v>
      </c>
      <c r="BE6">
        <f t="shared" si="17"/>
        <v>0.69783217774288397</v>
      </c>
      <c r="BF6">
        <f t="shared" si="17"/>
        <v>0.6989158854623494</v>
      </c>
      <c r="BG6">
        <f t="shared" ref="BG6:BG49" si="18">1-(R6/$AM$4)</f>
        <v>0.79564947698417476</v>
      </c>
      <c r="BI6" t="s">
        <v>17</v>
      </c>
      <c r="BJ6">
        <v>0.25</v>
      </c>
      <c r="BL6" s="9">
        <v>1</v>
      </c>
      <c r="BM6" s="7">
        <f t="shared" si="7"/>
        <v>0.59641465521364734</v>
      </c>
      <c r="BN6" s="3">
        <f t="shared" si="8"/>
        <v>0.58598958714420057</v>
      </c>
      <c r="BO6" s="3">
        <f t="shared" si="9"/>
        <v>0.39231486792499948</v>
      </c>
      <c r="BP6" s="3">
        <f t="shared" si="10"/>
        <v>0.39217474671253882</v>
      </c>
      <c r="BQ6" s="3">
        <f t="shared" si="11"/>
        <v>0.49763075436266263</v>
      </c>
      <c r="BR6" s="3">
        <f t="shared" si="12"/>
        <v>0.32059683249723336</v>
      </c>
      <c r="BS6" s="3">
        <f t="shared" si="13"/>
        <v>0.32655906783127775</v>
      </c>
      <c r="BT6" s="4">
        <f t="shared" ref="BT6:BT8" si="19">($BJ$3*AW6)+($BJ$4*BG6)+($BJ$5*AA6)+($BJ$6*AJ6)</f>
        <v>0.64797003493732042</v>
      </c>
      <c r="BV6" t="s">
        <v>2</v>
      </c>
      <c r="BW6" s="2">
        <f t="shared" si="14"/>
        <v>0.59641465521364734</v>
      </c>
      <c r="CB6" s="9">
        <v>1</v>
      </c>
      <c r="CC6" s="7">
        <v>0.59641465521364734</v>
      </c>
      <c r="CD6" s="3">
        <v>0.58598958714420057</v>
      </c>
      <c r="CE6" s="3">
        <v>0.39231486792499948</v>
      </c>
      <c r="CF6" s="3">
        <v>0.39217474671253882</v>
      </c>
      <c r="CG6" s="3">
        <v>0.49763075436266263</v>
      </c>
      <c r="CH6" s="3">
        <v>0.32059683249723336</v>
      </c>
      <c r="CI6" s="3">
        <v>0.32655906783127775</v>
      </c>
      <c r="CJ6" s="4">
        <v>0.64797003493732042</v>
      </c>
    </row>
    <row r="7" spans="1:88" x14ac:dyDescent="0.3">
      <c r="A7">
        <v>1.5</v>
      </c>
      <c r="B7">
        <v>0.83798034352338502</v>
      </c>
      <c r="C7">
        <v>0.82421331381520202</v>
      </c>
      <c r="D7">
        <v>1.1419026320402299</v>
      </c>
      <c r="E7">
        <v>1.1452708370037801</v>
      </c>
      <c r="F7">
        <v>1.0417999782221701</v>
      </c>
      <c r="G7">
        <v>1.1419026320402299</v>
      </c>
      <c r="H7">
        <v>1.1419026320402299</v>
      </c>
      <c r="I7">
        <v>1.0474996214571299</v>
      </c>
      <c r="J7">
        <v>1.5</v>
      </c>
      <c r="K7">
        <v>2.56423269384435</v>
      </c>
      <c r="L7">
        <v>2.4442355756995902</v>
      </c>
      <c r="M7">
        <v>5.1610565003577298</v>
      </c>
      <c r="N7">
        <v>5.3013202890006204</v>
      </c>
      <c r="O7">
        <v>4.2037988324173297</v>
      </c>
      <c r="P7">
        <v>5.1610565003577298</v>
      </c>
      <c r="Q7">
        <v>5.1610565003577298</v>
      </c>
      <c r="R7">
        <v>4.2146239587091898</v>
      </c>
      <c r="S7">
        <v>1.5</v>
      </c>
      <c r="T7">
        <v>0.95119976114718297</v>
      </c>
      <c r="U7">
        <v>0.94480856988498196</v>
      </c>
      <c r="V7">
        <v>0.92037480163383201</v>
      </c>
      <c r="W7">
        <v>0.92013456012665196</v>
      </c>
      <c r="X7">
        <v>0.92296695177121701</v>
      </c>
      <c r="Y7">
        <v>0.92037480163383201</v>
      </c>
      <c r="Z7">
        <v>0.92037480163383201</v>
      </c>
      <c r="AA7">
        <v>0.90279860839398296</v>
      </c>
      <c r="AB7">
        <v>1.5</v>
      </c>
      <c r="AC7">
        <v>-0.50836865850300705</v>
      </c>
      <c r="AD7">
        <v>-0.52777507645195398</v>
      </c>
      <c r="AE7">
        <v>-1.93083548320374</v>
      </c>
      <c r="AF7">
        <v>-1.93409142443004</v>
      </c>
      <c r="AG7">
        <v>-1.3039525636911899</v>
      </c>
      <c r="AH7">
        <v>-1.93083548320374</v>
      </c>
      <c r="AI7">
        <v>-1.93083548320374</v>
      </c>
      <c r="AJ7">
        <v>-0.35588890042796401</v>
      </c>
      <c r="AO7">
        <v>1.5</v>
      </c>
      <c r="AP7">
        <f t="shared" si="4"/>
        <v>0.6237416744052644</v>
      </c>
      <c r="AQ7">
        <f t="shared" si="15"/>
        <v>0.62992315537489452</v>
      </c>
      <c r="AR7">
        <f t="shared" si="15"/>
        <v>0.48727869854659855</v>
      </c>
      <c r="AS7">
        <f t="shared" si="15"/>
        <v>0.48576635381245281</v>
      </c>
      <c r="AT7">
        <f t="shared" si="15"/>
        <v>0.53222540547627206</v>
      </c>
      <c r="AU7">
        <f t="shared" si="15"/>
        <v>0.48727869854659855</v>
      </c>
      <c r="AV7">
        <f t="shared" si="15"/>
        <v>0.48727869854659855</v>
      </c>
      <c r="AW7">
        <f t="shared" si="16"/>
        <v>0.52966623062611218</v>
      </c>
      <c r="AY7">
        <v>1.5</v>
      </c>
      <c r="AZ7">
        <f t="shared" si="6"/>
        <v>0.7650146766500997</v>
      </c>
      <c r="BA7">
        <f t="shared" si="17"/>
        <v>0.77601116759883193</v>
      </c>
      <c r="BB7">
        <f t="shared" si="17"/>
        <v>0.52704271594577778</v>
      </c>
      <c r="BC7">
        <f t="shared" si="17"/>
        <v>0.51418899490569636</v>
      </c>
      <c r="BD7">
        <f t="shared" si="17"/>
        <v>0.61476544999021021</v>
      </c>
      <c r="BE7">
        <f t="shared" si="17"/>
        <v>0.52704271594577778</v>
      </c>
      <c r="BF7">
        <f t="shared" si="17"/>
        <v>0.52704271594577778</v>
      </c>
      <c r="BG7">
        <f t="shared" si="18"/>
        <v>0.61377343947255991</v>
      </c>
      <c r="BL7" s="9">
        <v>1.5</v>
      </c>
      <c r="BM7" s="7">
        <f t="shared" si="7"/>
        <v>0.457896863424885</v>
      </c>
      <c r="BN7" s="3">
        <f t="shared" si="8"/>
        <v>0.45574195410168855</v>
      </c>
      <c r="BO7" s="3">
        <f t="shared" si="9"/>
        <v>9.6518323061706157E-4</v>
      </c>
      <c r="BP7" s="3">
        <f t="shared" si="10"/>
        <v>-3.5003788963097193E-3</v>
      </c>
      <c r="BQ7" s="3">
        <f t="shared" si="11"/>
        <v>0.19150131088662736</v>
      </c>
      <c r="BR7" s="3">
        <f t="shared" si="12"/>
        <v>9.6518323061706157E-4</v>
      </c>
      <c r="BS7" s="3">
        <f t="shared" si="13"/>
        <v>9.6518323061706157E-4</v>
      </c>
      <c r="BT7" s="4">
        <f t="shared" si="19"/>
        <v>0.42258734451617275</v>
      </c>
      <c r="BV7" t="s">
        <v>2</v>
      </c>
      <c r="BW7" s="2">
        <f t="shared" si="14"/>
        <v>0.457896863424885</v>
      </c>
      <c r="CB7" s="9">
        <v>1.5</v>
      </c>
      <c r="CC7" s="7">
        <v>0.457896863424885</v>
      </c>
      <c r="CD7" s="3">
        <v>0.45574195410168855</v>
      </c>
      <c r="CE7" s="3">
        <v>9.6518323061706157E-4</v>
      </c>
      <c r="CF7" s="3">
        <v>-3.5003788963097193E-3</v>
      </c>
      <c r="CG7" s="3">
        <v>0.19150131088662736</v>
      </c>
      <c r="CH7" s="3">
        <v>9.6518323061706157E-4</v>
      </c>
      <c r="CI7" s="3">
        <v>9.6518323061706157E-4</v>
      </c>
      <c r="CJ7" s="4">
        <v>0.42258734451617275</v>
      </c>
    </row>
    <row r="8" spans="1:88" x14ac:dyDescent="0.3">
      <c r="A8">
        <v>2</v>
      </c>
      <c r="B8">
        <v>1.01266833953809</v>
      </c>
      <c r="C8">
        <v>0.99360329125359004</v>
      </c>
      <c r="D8">
        <v>1.3606270257534201</v>
      </c>
      <c r="E8">
        <v>1.36038238335218</v>
      </c>
      <c r="F8">
        <v>1.24141414134719</v>
      </c>
      <c r="G8">
        <v>1.3945875730050401</v>
      </c>
      <c r="H8">
        <v>1.3922973492888999</v>
      </c>
      <c r="I8">
        <v>1.24862680630157</v>
      </c>
      <c r="J8">
        <v>2</v>
      </c>
      <c r="K8">
        <v>4.0999354564344896</v>
      </c>
      <c r="L8">
        <v>3.9780034065399699</v>
      </c>
      <c r="M8">
        <v>7.1682263522394098</v>
      </c>
      <c r="N8">
        <v>7.1562474648002103</v>
      </c>
      <c r="O8">
        <v>5.4755688910830997</v>
      </c>
      <c r="P8">
        <v>7.5202849488097803</v>
      </c>
      <c r="Q8">
        <v>7.5151522690168102</v>
      </c>
      <c r="R8">
        <v>5.6093581288568002</v>
      </c>
      <c r="S8">
        <v>2</v>
      </c>
      <c r="T8">
        <v>0.938363885022927</v>
      </c>
      <c r="U8">
        <v>0.92888052729088999</v>
      </c>
      <c r="V8">
        <v>0.90304981229970605</v>
      </c>
      <c r="W8">
        <v>0.90309221666532902</v>
      </c>
      <c r="X8">
        <v>0.90206995294866898</v>
      </c>
      <c r="Y8">
        <v>0.89991581099351603</v>
      </c>
      <c r="Z8">
        <v>0.90088838128133097</v>
      </c>
      <c r="AA8">
        <v>0.88995238717262104</v>
      </c>
      <c r="AB8">
        <v>2</v>
      </c>
      <c r="AC8">
        <v>-1.1329135420427401</v>
      </c>
      <c r="AD8">
        <v>-1.2097417068033101</v>
      </c>
      <c r="AE8">
        <v>-2.3163906999408099</v>
      </c>
      <c r="AF8">
        <v>-2.3031257212369902</v>
      </c>
      <c r="AG8">
        <v>-2.0850244875753798</v>
      </c>
      <c r="AH8">
        <v>-2.4106870070023101</v>
      </c>
      <c r="AI8">
        <v>-2.4329845718407799</v>
      </c>
      <c r="AJ8">
        <v>-1.1207850014799301</v>
      </c>
      <c r="AO8">
        <v>2</v>
      </c>
      <c r="AP8">
        <f t="shared" si="4"/>
        <v>0.5453056903276039</v>
      </c>
      <c r="AQ8">
        <f t="shared" si="15"/>
        <v>0.55386601420673864</v>
      </c>
      <c r="AR8">
        <f t="shared" si="15"/>
        <v>0.38907010119546981</v>
      </c>
      <c r="AS8">
        <f t="shared" si="15"/>
        <v>0.38917994713752746</v>
      </c>
      <c r="AT8">
        <f t="shared" si="15"/>
        <v>0.44259741913637707</v>
      </c>
      <c r="AU8">
        <f t="shared" si="15"/>
        <v>0.37382160671235454</v>
      </c>
      <c r="AV8">
        <f t="shared" si="15"/>
        <v>0.37484993123969257</v>
      </c>
      <c r="AW8">
        <f t="shared" si="16"/>
        <v>0.43935888823313385</v>
      </c>
      <c r="AY8">
        <v>2</v>
      </c>
      <c r="AZ8">
        <f t="shared" si="6"/>
        <v>0.62428345085188286</v>
      </c>
      <c r="BA8">
        <f t="shared" si="17"/>
        <v>0.63545725822122257</v>
      </c>
      <c r="BB8">
        <f t="shared" si="17"/>
        <v>0.34310642272448177</v>
      </c>
      <c r="BC8">
        <f t="shared" si="17"/>
        <v>0.3442041634814067</v>
      </c>
      <c r="BD8">
        <f t="shared" si="17"/>
        <v>0.49822091829474235</v>
      </c>
      <c r="BE8">
        <f t="shared" si="17"/>
        <v>0.3108439048368512</v>
      </c>
      <c r="BF8">
        <f t="shared" si="17"/>
        <v>0.31131426169007204</v>
      </c>
      <c r="BG8">
        <f t="shared" si="18"/>
        <v>0.48596052267056189</v>
      </c>
      <c r="BL8" s="9">
        <v>2</v>
      </c>
      <c r="BM8" s="7">
        <f t="shared" si="7"/>
        <v>0.24375987103991842</v>
      </c>
      <c r="BN8" s="3">
        <f t="shared" si="8"/>
        <v>0.22711552322888534</v>
      </c>
      <c r="BO8" s="3">
        <f t="shared" si="9"/>
        <v>-0.17029109093028805</v>
      </c>
      <c r="BP8" s="3">
        <f t="shared" si="10"/>
        <v>-0.16666234848818173</v>
      </c>
      <c r="BQ8" s="3">
        <f t="shared" si="11"/>
        <v>-6.053404929889783E-2</v>
      </c>
      <c r="BR8" s="3">
        <f t="shared" si="12"/>
        <v>-0.20652642111489705</v>
      </c>
      <c r="BS8" s="3">
        <f t="shared" si="13"/>
        <v>-0.2114829994074211</v>
      </c>
      <c r="BT8" s="4">
        <f t="shared" si="19"/>
        <v>0.17362169914909664</v>
      </c>
      <c r="BV8" t="s">
        <v>2</v>
      </c>
      <c r="BW8" s="2">
        <f t="shared" si="14"/>
        <v>0.24375987103991842</v>
      </c>
      <c r="CB8" s="9">
        <v>2</v>
      </c>
      <c r="CC8" s="7">
        <v>0.24375987103991842</v>
      </c>
      <c r="CD8" s="3">
        <v>0.22711552322888534</v>
      </c>
      <c r="CE8" s="3">
        <v>-0.17029109093028805</v>
      </c>
      <c r="CF8" s="3">
        <v>-0.16666234848818173</v>
      </c>
      <c r="CG8" s="3">
        <v>-6.053404929889783E-2</v>
      </c>
      <c r="CH8" s="3">
        <v>-0.20652642111489705</v>
      </c>
      <c r="CI8" s="3">
        <v>-0.2114829994074211</v>
      </c>
      <c r="CJ8" s="4">
        <v>0.17362169914909664</v>
      </c>
    </row>
    <row r="9" spans="1:88" ht="15" thickBot="1" x14ac:dyDescent="0.35">
      <c r="A9">
        <v>2.5</v>
      </c>
      <c r="B9">
        <v>1.1067927323283799</v>
      </c>
      <c r="C9">
        <v>1.11341228643054</v>
      </c>
      <c r="D9">
        <v>1.5315667485398301</v>
      </c>
      <c r="E9">
        <v>1.5343621442354001</v>
      </c>
      <c r="F9">
        <v>1.4039017421394</v>
      </c>
      <c r="G9">
        <v>1.5315667485398301</v>
      </c>
      <c r="H9">
        <v>1.5315667485398301</v>
      </c>
      <c r="I9">
        <v>1.38187561884322</v>
      </c>
      <c r="J9">
        <v>2.5</v>
      </c>
      <c r="K9">
        <v>4.1566023241043002</v>
      </c>
      <c r="L9">
        <v>4.2642601650638099</v>
      </c>
      <c r="M9">
        <v>8.8365356196786795</v>
      </c>
      <c r="N9">
        <v>8.8757973118305706</v>
      </c>
      <c r="O9">
        <v>6.7972503783407996</v>
      </c>
      <c r="P9">
        <v>8.8365356196786795</v>
      </c>
      <c r="Q9">
        <v>8.8365356196786795</v>
      </c>
      <c r="R9">
        <v>6.7544351749141498</v>
      </c>
      <c r="S9">
        <v>2.5</v>
      </c>
      <c r="T9">
        <v>0.93068144122861496</v>
      </c>
      <c r="U9">
        <v>0.91734563599809205</v>
      </c>
      <c r="V9">
        <v>0.88605887887451895</v>
      </c>
      <c r="W9">
        <v>0.88580415146785296</v>
      </c>
      <c r="X9">
        <v>0.88614497977499096</v>
      </c>
      <c r="Y9">
        <v>0.88605887887451895</v>
      </c>
      <c r="Z9">
        <v>0.88605887887451895</v>
      </c>
      <c r="AA9">
        <v>0.88700049058864205</v>
      </c>
      <c r="AB9">
        <v>2.5</v>
      </c>
      <c r="AC9">
        <v>-0.57987447740887799</v>
      </c>
      <c r="AD9">
        <v>-0.65776350986362597</v>
      </c>
      <c r="AE9">
        <v>-2.5204579667966001</v>
      </c>
      <c r="AF9">
        <v>-2.5326800554918099</v>
      </c>
      <c r="AG9">
        <v>-2.2400183601775598</v>
      </c>
      <c r="AH9">
        <v>-2.5204579667966001</v>
      </c>
      <c r="AI9">
        <v>-2.5204579667966001</v>
      </c>
      <c r="AJ9">
        <v>-1.30944967406847</v>
      </c>
      <c r="AO9">
        <v>2.5</v>
      </c>
      <c r="AP9">
        <f t="shared" si="4"/>
        <v>0.50304325934982119</v>
      </c>
      <c r="AQ9">
        <f t="shared" si="15"/>
        <v>0.5000710388652807</v>
      </c>
      <c r="AR9">
        <f t="shared" si="15"/>
        <v>0.31231711483923552</v>
      </c>
      <c r="AS9">
        <f t="shared" si="15"/>
        <v>0.31106196498766803</v>
      </c>
      <c r="AT9">
        <f t="shared" si="15"/>
        <v>0.36963948751363296</v>
      </c>
      <c r="AU9">
        <f t="shared" si="15"/>
        <v>0.31231711483923552</v>
      </c>
      <c r="AV9">
        <f t="shared" si="15"/>
        <v>0.31231711483923552</v>
      </c>
      <c r="AW9">
        <f t="shared" si="16"/>
        <v>0.37952935227575624</v>
      </c>
      <c r="AY9">
        <v>2.5</v>
      </c>
      <c r="AZ9">
        <f t="shared" si="6"/>
        <v>0.6190905203293986</v>
      </c>
      <c r="BA9">
        <f t="shared" si="17"/>
        <v>0.60922479611889602</v>
      </c>
      <c r="BB9">
        <f t="shared" si="17"/>
        <v>0.19022318650417014</v>
      </c>
      <c r="BC9">
        <f t="shared" si="17"/>
        <v>0.18662525974513455</v>
      </c>
      <c r="BD9">
        <f t="shared" si="17"/>
        <v>0.37710252198289829</v>
      </c>
      <c r="BE9">
        <f t="shared" si="17"/>
        <v>0.19022318650417014</v>
      </c>
      <c r="BF9">
        <f t="shared" si="17"/>
        <v>0.19022318650417014</v>
      </c>
      <c r="BG9">
        <f t="shared" si="18"/>
        <v>0.38102609118379616</v>
      </c>
      <c r="BL9" s="10">
        <v>2.5</v>
      </c>
      <c r="BM9" s="8">
        <f t="shared" si="7"/>
        <v>0.36823518587473913</v>
      </c>
      <c r="BN9" s="5">
        <f t="shared" si="8"/>
        <v>0.3422194902796607</v>
      </c>
      <c r="BO9" s="5">
        <f t="shared" si="9"/>
        <v>-0.28296469664466883</v>
      </c>
      <c r="BP9" s="5">
        <f t="shared" si="10"/>
        <v>-0.28729716982278858</v>
      </c>
      <c r="BQ9" s="5">
        <f t="shared" si="11"/>
        <v>-0.15178284272650944</v>
      </c>
      <c r="BR9" s="5">
        <f t="shared" si="12"/>
        <v>-0.28296469664466883</v>
      </c>
      <c r="BS9" s="5">
        <f t="shared" si="13"/>
        <v>-0.28296469664466883</v>
      </c>
      <c r="BT9" s="6">
        <f>($BJ$3*AW9)+($BJ$4*BG9)+($BJ$5*AA9)+($BJ$6*AJ9)</f>
        <v>8.4526564994931108E-2</v>
      </c>
      <c r="BV9" t="s">
        <v>2</v>
      </c>
      <c r="BW9" s="2">
        <f t="shared" si="14"/>
        <v>0.36823518587473913</v>
      </c>
      <c r="CB9" s="10">
        <v>2.5</v>
      </c>
      <c r="CC9" s="8">
        <v>0.36823518587473913</v>
      </c>
      <c r="CD9" s="5">
        <v>0.3422194902796607</v>
      </c>
      <c r="CE9" s="5">
        <v>-0.28296469664466883</v>
      </c>
      <c r="CF9" s="5">
        <v>-0.28729716982278858</v>
      </c>
      <c r="CG9" s="5">
        <v>-0.15178284272650944</v>
      </c>
      <c r="CH9" s="5">
        <v>-0.28296469664466883</v>
      </c>
      <c r="CI9" s="5">
        <v>-0.28296469664466883</v>
      </c>
      <c r="CJ9" s="6">
        <v>8.4526564994931108E-2</v>
      </c>
    </row>
    <row r="10" spans="1:88" ht="15" thickBot="1" x14ac:dyDescent="0.35">
      <c r="A10" t="s">
        <v>9</v>
      </c>
      <c r="J10" t="s">
        <v>9</v>
      </c>
      <c r="S10" t="s">
        <v>9</v>
      </c>
      <c r="AB10" t="s">
        <v>9</v>
      </c>
      <c r="AO10" t="s">
        <v>9</v>
      </c>
      <c r="AY10" t="s">
        <v>9</v>
      </c>
      <c r="BL10" t="s">
        <v>9</v>
      </c>
      <c r="BW10" s="2"/>
      <c r="CB10" t="s">
        <v>9</v>
      </c>
    </row>
    <row r="11" spans="1:88" ht="15" thickBot="1" x14ac:dyDescent="0.3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23</v>
      </c>
      <c r="J11" t="s">
        <v>1</v>
      </c>
      <c r="K11" t="s">
        <v>2</v>
      </c>
      <c r="L11" t="s">
        <v>3</v>
      </c>
      <c r="M11" t="s">
        <v>4</v>
      </c>
      <c r="N11" t="s">
        <v>5</v>
      </c>
      <c r="O11" t="s">
        <v>6</v>
      </c>
      <c r="P11" t="s">
        <v>7</v>
      </c>
      <c r="Q11" t="s">
        <v>8</v>
      </c>
      <c r="S11" t="s">
        <v>1</v>
      </c>
      <c r="T11" t="s">
        <v>2</v>
      </c>
      <c r="U11" t="s">
        <v>3</v>
      </c>
      <c r="V11" t="s">
        <v>4</v>
      </c>
      <c r="W11" t="s">
        <v>5</v>
      </c>
      <c r="X11" t="s">
        <v>6</v>
      </c>
      <c r="Y11" t="s">
        <v>7</v>
      </c>
      <c r="Z11" t="s">
        <v>8</v>
      </c>
      <c r="AB11" t="s">
        <v>1</v>
      </c>
      <c r="AC11" t="s">
        <v>2</v>
      </c>
      <c r="AD11" t="s">
        <v>3</v>
      </c>
      <c r="AE11" t="s">
        <v>4</v>
      </c>
      <c r="AF11" t="s">
        <v>5</v>
      </c>
      <c r="AG11" t="s">
        <v>6</v>
      </c>
      <c r="AH11" t="s">
        <v>7</v>
      </c>
      <c r="AI11" t="s">
        <v>8</v>
      </c>
      <c r="AO11" t="s">
        <v>1</v>
      </c>
      <c r="AY11" t="s">
        <v>1</v>
      </c>
      <c r="BL11" s="15" t="s">
        <v>1</v>
      </c>
      <c r="BM11" s="16" t="s">
        <v>2</v>
      </c>
      <c r="BN11" s="17" t="s">
        <v>3</v>
      </c>
      <c r="BO11" s="17" t="s">
        <v>4</v>
      </c>
      <c r="BP11" s="17" t="s">
        <v>5</v>
      </c>
      <c r="BQ11" s="17" t="s">
        <v>6</v>
      </c>
      <c r="BR11" s="17" t="s">
        <v>7</v>
      </c>
      <c r="BS11" s="17" t="s">
        <v>8</v>
      </c>
      <c r="BT11" s="18" t="s">
        <v>23</v>
      </c>
      <c r="BW11" s="2"/>
      <c r="CB11" s="15" t="s">
        <v>1</v>
      </c>
      <c r="CC11" s="16" t="s">
        <v>2</v>
      </c>
      <c r="CD11" s="17" t="s">
        <v>3</v>
      </c>
      <c r="CE11" s="17" t="s">
        <v>4</v>
      </c>
      <c r="CF11" s="17" t="s">
        <v>5</v>
      </c>
      <c r="CG11" s="17" t="s">
        <v>6</v>
      </c>
      <c r="CH11" s="17" t="s">
        <v>7</v>
      </c>
      <c r="CI11" s="17" t="s">
        <v>8</v>
      </c>
      <c r="CJ11" s="18" t="s">
        <v>23</v>
      </c>
    </row>
    <row r="12" spans="1:88" x14ac:dyDescent="0.3">
      <c r="A12">
        <v>0.2</v>
      </c>
      <c r="B12">
        <v>7.8745438587267097E-2</v>
      </c>
      <c r="C12">
        <v>8.9674986912790605E-2</v>
      </c>
      <c r="D12">
        <v>9.2020246237969006E-2</v>
      </c>
      <c r="E12">
        <v>9.2024605269103901E-2</v>
      </c>
      <c r="F12">
        <v>0.11883096136574001</v>
      </c>
      <c r="G12">
        <v>0.190389934893126</v>
      </c>
      <c r="H12">
        <v>0.19675412705906201</v>
      </c>
      <c r="I12" s="19">
        <v>0.101210646679763</v>
      </c>
      <c r="J12">
        <v>0.2</v>
      </c>
      <c r="K12">
        <v>3.4078706320722602E-2</v>
      </c>
      <c r="L12">
        <v>4.7203092776316902E-2</v>
      </c>
      <c r="M12">
        <v>5.2784792704143602E-2</v>
      </c>
      <c r="N12">
        <v>5.2799609720276003E-2</v>
      </c>
      <c r="O12">
        <v>8.2921026132286704E-2</v>
      </c>
      <c r="P12">
        <v>0.21498920090152901</v>
      </c>
      <c r="Q12">
        <v>0.24350611302063599</v>
      </c>
      <c r="R12">
        <v>6.0137647000000002E-2</v>
      </c>
      <c r="S12">
        <v>0.2</v>
      </c>
      <c r="T12">
        <v>0.99347861835639695</v>
      </c>
      <c r="U12">
        <v>0.99267510041147999</v>
      </c>
      <c r="V12">
        <v>0.99247250598762105</v>
      </c>
      <c r="W12">
        <v>0.99247221248136197</v>
      </c>
      <c r="X12">
        <v>0.99049070026854602</v>
      </c>
      <c r="Y12">
        <v>0.98500943902798099</v>
      </c>
      <c r="Z12">
        <v>0.98463260925631002</v>
      </c>
      <c r="AA12">
        <v>0.98958078900000002</v>
      </c>
      <c r="AB12">
        <v>0.2</v>
      </c>
      <c r="AC12">
        <v>0.96673026366442005</v>
      </c>
      <c r="AD12">
        <v>0.95131378463825</v>
      </c>
      <c r="AE12">
        <v>0.94378254003796402</v>
      </c>
      <c r="AF12">
        <v>0.94375571766686295</v>
      </c>
      <c r="AG12">
        <v>0.91171790755535198</v>
      </c>
      <c r="AH12">
        <v>0.77975537598852596</v>
      </c>
      <c r="AI12">
        <v>0.75161316198530603</v>
      </c>
      <c r="AJ12">
        <v>0.94687238399999996</v>
      </c>
      <c r="AO12">
        <v>0.2</v>
      </c>
      <c r="AP12">
        <f t="shared" si="4"/>
        <v>0.96464281399908358</v>
      </c>
      <c r="AQ12">
        <f t="shared" ref="AQ12:AV17" si="20">1-(C12/$AM$3)</f>
        <v>0.95973537961323929</v>
      </c>
      <c r="AR12">
        <f t="shared" si="20"/>
        <v>0.95868234375912031</v>
      </c>
      <c r="AS12">
        <f t="shared" si="20"/>
        <v>0.95868038652734433</v>
      </c>
      <c r="AT12">
        <f t="shared" si="20"/>
        <v>0.94664416785208483</v>
      </c>
      <c r="AU12">
        <f t="shared" si="20"/>
        <v>0.91451374884072179</v>
      </c>
      <c r="AV12">
        <f t="shared" si="20"/>
        <v>0.91165618743534338</v>
      </c>
      <c r="AW12">
        <f t="shared" si="16"/>
        <v>0.95455579746420949</v>
      </c>
      <c r="AY12">
        <v>0.2</v>
      </c>
      <c r="AZ12">
        <f t="shared" si="6"/>
        <v>0.99687704012067813</v>
      </c>
      <c r="BA12">
        <f t="shared" ref="BA12:BF17" si="21">1-(L12/$AM$4)</f>
        <v>0.99567432626306285</v>
      </c>
      <c r="BB12">
        <f t="shared" si="21"/>
        <v>0.99516282137291334</v>
      </c>
      <c r="BC12">
        <f t="shared" si="21"/>
        <v>0.99516146354710633</v>
      </c>
      <c r="BD12">
        <f t="shared" si="21"/>
        <v>0.99240114823238279</v>
      </c>
      <c r="BE12">
        <f t="shared" si="21"/>
        <v>0.98029847017711846</v>
      </c>
      <c r="BF12">
        <f t="shared" si="21"/>
        <v>0.9776851910346539</v>
      </c>
      <c r="BG12">
        <f t="shared" si="18"/>
        <v>0.9944890085600574</v>
      </c>
      <c r="BL12" s="11">
        <v>0.2</v>
      </c>
      <c r="BM12" s="12">
        <f t="shared" ref="BM12:BM49" si="22">($BJ$3*AP12)+($BJ$4*AZ12)+($BJ$5*T12)+($BJ$6*AC12)</f>
        <v>0.98043218403514465</v>
      </c>
      <c r="BN12" s="13">
        <f t="shared" ref="BN12:BS17" si="23">($BJ$3*AQ12)+($BJ$4*BA12)+($BJ$5*U12)+($BJ$6*AD12)</f>
        <v>0.97484964773150806</v>
      </c>
      <c r="BO12" s="13">
        <f t="shared" si="23"/>
        <v>0.97252505278940471</v>
      </c>
      <c r="BP12" s="13">
        <f t="shared" si="23"/>
        <v>0.97251744505566884</v>
      </c>
      <c r="BQ12" s="13">
        <f t="shared" si="23"/>
        <v>0.96031348097709146</v>
      </c>
      <c r="BR12" s="13">
        <f t="shared" si="23"/>
        <v>0.91489425850858674</v>
      </c>
      <c r="BS12" s="13">
        <f t="shared" si="23"/>
        <v>0.90639678742790331</v>
      </c>
      <c r="BT12" s="4">
        <f t="shared" ref="BT12:BT17" si="24">($BJ$3*AW12)+($BJ$4*BG12)+($BJ$5*AA12)+($BJ$6*AJ12)</f>
        <v>0.97137449475606674</v>
      </c>
      <c r="BV12" t="s">
        <v>2</v>
      </c>
      <c r="BW12" s="2">
        <f t="shared" si="14"/>
        <v>0.98043218403514465</v>
      </c>
      <c r="CB12" s="11">
        <v>0.2</v>
      </c>
      <c r="CC12" s="12">
        <v>0.98043218403514465</v>
      </c>
      <c r="CD12" s="13">
        <v>0.97484964773150806</v>
      </c>
      <c r="CE12" s="13">
        <v>0.97252505278940471</v>
      </c>
      <c r="CF12" s="13">
        <v>0.97251744505566884</v>
      </c>
      <c r="CG12" s="13">
        <v>0.96031348097709146</v>
      </c>
      <c r="CH12" s="13">
        <v>0.91489425850858674</v>
      </c>
      <c r="CI12" s="13">
        <v>0.90639678742790331</v>
      </c>
      <c r="CJ12" s="14" t="s">
        <v>24</v>
      </c>
    </row>
    <row r="13" spans="1:88" x14ac:dyDescent="0.3">
      <c r="A13">
        <v>0.5</v>
      </c>
      <c r="B13">
        <v>0.26392772432419798</v>
      </c>
      <c r="C13">
        <v>0.27363700003470398</v>
      </c>
      <c r="D13">
        <v>0.37177776378828697</v>
      </c>
      <c r="E13">
        <v>0.39496938301229001</v>
      </c>
      <c r="F13">
        <v>0.30851043014718499</v>
      </c>
      <c r="G13">
        <v>0.37177776378828697</v>
      </c>
      <c r="H13">
        <v>0.37177776378828697</v>
      </c>
      <c r="I13">
        <v>0.31399528638604601</v>
      </c>
      <c r="J13">
        <v>0.5</v>
      </c>
      <c r="K13">
        <v>0.33672260718540498</v>
      </c>
      <c r="L13">
        <v>0.35037477086971802</v>
      </c>
      <c r="M13">
        <v>0.66650864620466899</v>
      </c>
      <c r="N13">
        <v>7.4061691490936301</v>
      </c>
      <c r="O13">
        <v>0.43209051308858798</v>
      </c>
      <c r="P13">
        <v>0.66650864620466899</v>
      </c>
      <c r="Q13">
        <v>0.66650864620466899</v>
      </c>
      <c r="R13">
        <v>0.42549739585491198</v>
      </c>
      <c r="S13">
        <v>0.5</v>
      </c>
      <c r="T13">
        <v>0.97984807489619696</v>
      </c>
      <c r="U13">
        <v>0.97803090660822201</v>
      </c>
      <c r="V13">
        <v>0.96967762113712697</v>
      </c>
      <c r="W13">
        <v>0.96966804847205401</v>
      </c>
      <c r="X13">
        <v>0.97392636097672003</v>
      </c>
      <c r="Y13">
        <v>0.96967762113712697</v>
      </c>
      <c r="Z13">
        <v>0.96967762113712697</v>
      </c>
      <c r="AA13">
        <v>0.960872372861167</v>
      </c>
      <c r="AB13">
        <v>0.5</v>
      </c>
      <c r="AC13">
        <v>0.63504738501844404</v>
      </c>
      <c r="AD13">
        <v>0.60627827583772997</v>
      </c>
      <c r="AE13">
        <v>0.28175217973025102</v>
      </c>
      <c r="AF13">
        <v>0.28057079588384598</v>
      </c>
      <c r="AG13">
        <v>0.50072994201770304</v>
      </c>
      <c r="AH13">
        <v>0.28175217973025102</v>
      </c>
      <c r="AI13">
        <v>0.28175217973025102</v>
      </c>
      <c r="AJ13">
        <v>0.71248056372995805</v>
      </c>
      <c r="AO13">
        <v>0.5</v>
      </c>
      <c r="AP13">
        <f t="shared" si="4"/>
        <v>0.88149482932414336</v>
      </c>
      <c r="AQ13">
        <f t="shared" si="20"/>
        <v>0.87713530484387658</v>
      </c>
      <c r="AR13">
        <f t="shared" si="20"/>
        <v>0.83306949861356472</v>
      </c>
      <c r="AS13">
        <f t="shared" si="20"/>
        <v>0.82265631901514547</v>
      </c>
      <c r="AT13">
        <f t="shared" si="20"/>
        <v>0.86147692034443035</v>
      </c>
      <c r="AU13">
        <f t="shared" si="20"/>
        <v>0.83306949861356472</v>
      </c>
      <c r="AV13">
        <f t="shared" si="20"/>
        <v>0.83306949861356472</v>
      </c>
      <c r="AW13">
        <f t="shared" si="16"/>
        <v>0.85901418617588832</v>
      </c>
      <c r="AY13">
        <v>0.5</v>
      </c>
      <c r="AZ13">
        <f t="shared" si="6"/>
        <v>0.9691428664338344</v>
      </c>
      <c r="BA13">
        <f t="shared" si="21"/>
        <v>0.96789178726871594</v>
      </c>
      <c r="BB13">
        <f t="shared" si="21"/>
        <v>0.93892139737556313</v>
      </c>
      <c r="BC13">
        <f t="shared" si="21"/>
        <v>0.32130143396827704</v>
      </c>
      <c r="BD13">
        <f t="shared" si="21"/>
        <v>0.9604033872673533</v>
      </c>
      <c r="BE13">
        <f t="shared" si="21"/>
        <v>0.93892139737556313</v>
      </c>
      <c r="BF13">
        <f t="shared" si="21"/>
        <v>0.93892139737556313</v>
      </c>
      <c r="BG13">
        <f t="shared" si="18"/>
        <v>0.96100757806047377</v>
      </c>
      <c r="BL13" s="9">
        <v>0.5</v>
      </c>
      <c r="BM13" s="7">
        <f t="shared" si="22"/>
        <v>0.86638328891815464</v>
      </c>
      <c r="BN13" s="3">
        <f t="shared" si="23"/>
        <v>0.85733406863963624</v>
      </c>
      <c r="BO13" s="3">
        <f t="shared" si="23"/>
        <v>0.75585517421412651</v>
      </c>
      <c r="BP13" s="3">
        <f t="shared" si="23"/>
        <v>0.59854914933483061</v>
      </c>
      <c r="BQ13" s="3">
        <f t="shared" si="23"/>
        <v>0.82413415265155177</v>
      </c>
      <c r="BR13" s="3">
        <f t="shared" si="23"/>
        <v>0.75585517421412651</v>
      </c>
      <c r="BS13" s="3">
        <f t="shared" si="23"/>
        <v>0.75585517421412651</v>
      </c>
      <c r="BT13" s="4">
        <f t="shared" si="24"/>
        <v>0.87334367520687173</v>
      </c>
      <c r="BV13" t="s">
        <v>2</v>
      </c>
      <c r="BW13" s="2">
        <f t="shared" si="14"/>
        <v>0.86638328891815464</v>
      </c>
      <c r="CB13" s="9">
        <v>0.5</v>
      </c>
      <c r="CC13" s="7">
        <v>0.86638328891815464</v>
      </c>
      <c r="CD13" s="3">
        <v>0.85733406863963624</v>
      </c>
      <c r="CE13" s="3">
        <v>0.75585517421412651</v>
      </c>
      <c r="CF13" s="3">
        <v>0.59854914933483061</v>
      </c>
      <c r="CG13" s="3">
        <v>0.82413415265155177</v>
      </c>
      <c r="CH13" s="3">
        <v>0.75585517421412651</v>
      </c>
      <c r="CI13" s="3">
        <v>0.75585517421412651</v>
      </c>
      <c r="CJ13" s="4">
        <v>0.87334367520687173</v>
      </c>
    </row>
    <row r="14" spans="1:88" x14ac:dyDescent="0.3">
      <c r="A14">
        <v>1</v>
      </c>
      <c r="B14">
        <v>0.455437985453644</v>
      </c>
      <c r="C14">
        <v>0.45643788251746398</v>
      </c>
      <c r="D14">
        <v>0.56222570799696003</v>
      </c>
      <c r="E14">
        <v>0.56244482154171405</v>
      </c>
      <c r="F14">
        <v>0.50967447988000003</v>
      </c>
      <c r="G14">
        <v>0.60023954821678005</v>
      </c>
      <c r="H14">
        <v>0.60347257191936698</v>
      </c>
      <c r="I14">
        <v>0.52240658254961303</v>
      </c>
      <c r="J14">
        <v>1</v>
      </c>
      <c r="K14">
        <v>0.944321678997318</v>
      </c>
      <c r="L14">
        <v>0.89951803348117798</v>
      </c>
      <c r="M14">
        <v>1.4607563252603</v>
      </c>
      <c r="N14">
        <v>1.4623910859874101</v>
      </c>
      <c r="O14">
        <v>1.03594912214101</v>
      </c>
      <c r="P14">
        <v>1.66954434620932</v>
      </c>
      <c r="Q14">
        <v>1.69078708518386</v>
      </c>
      <c r="R14">
        <v>0.99120203517421401</v>
      </c>
      <c r="S14">
        <v>1</v>
      </c>
      <c r="T14">
        <v>0.96463461998103495</v>
      </c>
      <c r="U14">
        <v>0.96035303115236503</v>
      </c>
      <c r="V14">
        <v>0.950417338510962</v>
      </c>
      <c r="W14">
        <v>0.95041772352989096</v>
      </c>
      <c r="X14">
        <v>0.95230253385663599</v>
      </c>
      <c r="Y14">
        <v>0.94625156642935504</v>
      </c>
      <c r="Z14">
        <v>0.94624094980887996</v>
      </c>
      <c r="AA14">
        <v>0.93553327539669395</v>
      </c>
      <c r="AB14">
        <v>1</v>
      </c>
      <c r="AC14">
        <v>-3.3984832523903601E-2</v>
      </c>
      <c r="AD14">
        <v>-3.1785583738048899E-2</v>
      </c>
      <c r="AE14">
        <v>-0.568666394329569</v>
      </c>
      <c r="AF14">
        <v>-0.57245408765655603</v>
      </c>
      <c r="AG14">
        <v>-0.191855218060626</v>
      </c>
      <c r="AH14">
        <v>-0.75614511499813297</v>
      </c>
      <c r="AI14">
        <v>-0.73235643798917904</v>
      </c>
      <c r="AJ14">
        <v>0.37041476408625801</v>
      </c>
      <c r="AO14">
        <v>1</v>
      </c>
      <c r="AP14">
        <f t="shared" si="4"/>
        <v>0.79550554479772773</v>
      </c>
      <c r="AQ14">
        <f t="shared" si="20"/>
        <v>0.79505658486936215</v>
      </c>
      <c r="AR14">
        <f t="shared" si="20"/>
        <v>0.74755720091500266</v>
      </c>
      <c r="AS14">
        <f t="shared" si="20"/>
        <v>0.74745881758644195</v>
      </c>
      <c r="AT14">
        <f t="shared" si="20"/>
        <v>0.77115302538995056</v>
      </c>
      <c r="AU14">
        <f t="shared" si="20"/>
        <v>0.73048875297218263</v>
      </c>
      <c r="AV14">
        <f t="shared" si="20"/>
        <v>0.72903710545521494</v>
      </c>
      <c r="AW14">
        <f t="shared" si="16"/>
        <v>0.76543623302269004</v>
      </c>
      <c r="AY14">
        <v>1</v>
      </c>
      <c r="AZ14">
        <f t="shared" si="6"/>
        <v>0.91346271513572119</v>
      </c>
      <c r="BA14">
        <f t="shared" si="21"/>
        <v>0.91756850442471138</v>
      </c>
      <c r="BB14">
        <f t="shared" si="21"/>
        <v>0.86613683763929905</v>
      </c>
      <c r="BC14">
        <f t="shared" si="21"/>
        <v>0.86598702877874523</v>
      </c>
      <c r="BD14">
        <f t="shared" si="21"/>
        <v>0.90506601057512026</v>
      </c>
      <c r="BE14">
        <f t="shared" si="21"/>
        <v>0.84700358162393474</v>
      </c>
      <c r="BF14">
        <f t="shared" si="21"/>
        <v>0.84505690498310071</v>
      </c>
      <c r="BG14">
        <f t="shared" si="18"/>
        <v>0.90916661685983868</v>
      </c>
      <c r="BL14" s="9">
        <v>1</v>
      </c>
      <c r="BM14" s="7">
        <f t="shared" si="22"/>
        <v>0.6599045118476452</v>
      </c>
      <c r="BN14" s="3">
        <f t="shared" si="23"/>
        <v>0.66029813417709748</v>
      </c>
      <c r="BO14" s="3">
        <f t="shared" si="23"/>
        <v>0.49886124568392376</v>
      </c>
      <c r="BP14" s="3">
        <f t="shared" si="23"/>
        <v>0.49785237055963055</v>
      </c>
      <c r="BQ14" s="3">
        <f t="shared" si="23"/>
        <v>0.60916658794027023</v>
      </c>
      <c r="BR14" s="3">
        <f t="shared" si="23"/>
        <v>0.44189969650683492</v>
      </c>
      <c r="BS14" s="3">
        <f t="shared" si="23"/>
        <v>0.44699463056450417</v>
      </c>
      <c r="BT14" s="4">
        <f t="shared" si="24"/>
        <v>0.74513772234137021</v>
      </c>
      <c r="BV14" t="s">
        <v>3</v>
      </c>
      <c r="BW14" s="2">
        <f t="shared" si="14"/>
        <v>0.66029813417709748</v>
      </c>
      <c r="CB14" s="9">
        <v>1</v>
      </c>
      <c r="CC14" s="7">
        <v>0.6599045118476452</v>
      </c>
      <c r="CD14" s="3">
        <v>0.66029813417709748</v>
      </c>
      <c r="CE14" s="3">
        <v>0.49886124568392376</v>
      </c>
      <c r="CF14" s="3">
        <v>0.49785237055963055</v>
      </c>
      <c r="CG14" s="3">
        <v>0.60916658794027023</v>
      </c>
      <c r="CH14" s="3">
        <v>0.44189969650683492</v>
      </c>
      <c r="CI14" s="3">
        <v>0.44699463056450417</v>
      </c>
      <c r="CJ14" s="4">
        <v>0.74513772234137021</v>
      </c>
    </row>
    <row r="15" spans="1:88" x14ac:dyDescent="0.3">
      <c r="A15">
        <v>1.5</v>
      </c>
      <c r="B15">
        <v>0.57535119498314302</v>
      </c>
      <c r="C15">
        <v>0.565628413145431</v>
      </c>
      <c r="D15">
        <v>0.76375288082640602</v>
      </c>
      <c r="E15">
        <v>0.76369353818581598</v>
      </c>
      <c r="F15">
        <v>0.657557970222997</v>
      </c>
      <c r="G15">
        <v>0.76375288082640602</v>
      </c>
      <c r="H15">
        <v>0.76375288082640602</v>
      </c>
      <c r="I15">
        <v>0.68629709318680898</v>
      </c>
      <c r="J15">
        <v>1.5</v>
      </c>
      <c r="K15">
        <v>1.2934343324214801</v>
      </c>
      <c r="L15">
        <v>1.19297404655364</v>
      </c>
      <c r="M15">
        <v>2.4858895793650699</v>
      </c>
      <c r="N15">
        <v>2.4855076775076399</v>
      </c>
      <c r="O15">
        <v>1.6285711506446201</v>
      </c>
      <c r="P15">
        <v>2.4858895793650699</v>
      </c>
      <c r="Q15">
        <v>2.4858895793650699</v>
      </c>
      <c r="R15">
        <v>1.5646906271077601</v>
      </c>
      <c r="S15">
        <v>1.5</v>
      </c>
      <c r="T15">
        <v>0.95481581076889399</v>
      </c>
      <c r="U15">
        <v>0.947259318059677</v>
      </c>
      <c r="V15">
        <v>0.92882484707620705</v>
      </c>
      <c r="W15">
        <v>0.92884064903862495</v>
      </c>
      <c r="X15">
        <v>0.933462821845503</v>
      </c>
      <c r="Y15">
        <v>0.92882484707620705</v>
      </c>
      <c r="Z15">
        <v>0.92882484707620705</v>
      </c>
      <c r="AA15">
        <v>0.91547181417533197</v>
      </c>
      <c r="AB15">
        <v>1.5</v>
      </c>
      <c r="AC15">
        <v>-0.241444646084709</v>
      </c>
      <c r="AD15">
        <v>-0.20855186141371701</v>
      </c>
      <c r="AE15">
        <v>-1.53509290276917</v>
      </c>
      <c r="AF15">
        <v>-1.5394867339418099</v>
      </c>
      <c r="AG15">
        <v>-0.86191273184896899</v>
      </c>
      <c r="AH15">
        <v>-1.53509290276917</v>
      </c>
      <c r="AI15">
        <v>-1.53509290276917</v>
      </c>
      <c r="AJ15">
        <v>6.5059863901893297E-3</v>
      </c>
      <c r="AO15">
        <v>1.5</v>
      </c>
      <c r="AP15">
        <f t="shared" si="4"/>
        <v>0.74166377657133387</v>
      </c>
      <c r="AQ15">
        <f t="shared" si="20"/>
        <v>0.74602936538574305</v>
      </c>
      <c r="AR15">
        <f t="shared" si="20"/>
        <v>0.65707026145789338</v>
      </c>
      <c r="AS15">
        <f t="shared" si="20"/>
        <v>0.65709690666831788</v>
      </c>
      <c r="AT15">
        <f t="shared" si="20"/>
        <v>0.70475242913538172</v>
      </c>
      <c r="AU15">
        <f t="shared" si="20"/>
        <v>0.65707026145789338</v>
      </c>
      <c r="AV15">
        <f t="shared" si="20"/>
        <v>0.65707026145789338</v>
      </c>
      <c r="AW15">
        <f t="shared" si="16"/>
        <v>0.69184838625537903</v>
      </c>
      <c r="AY15">
        <v>1.5</v>
      </c>
      <c r="AZ15">
        <f t="shared" si="6"/>
        <v>0.88147016237428377</v>
      </c>
      <c r="BA15">
        <f t="shared" si="21"/>
        <v>0.89067630533281772</v>
      </c>
      <c r="BB15">
        <f t="shared" si="21"/>
        <v>0.77219401030899326</v>
      </c>
      <c r="BC15">
        <f t="shared" si="21"/>
        <v>0.77222900765212499</v>
      </c>
      <c r="BD15">
        <f t="shared" si="21"/>
        <v>0.85075834991448929</v>
      </c>
      <c r="BE15">
        <f t="shared" si="21"/>
        <v>0.77219401030899326</v>
      </c>
      <c r="BF15">
        <f t="shared" si="21"/>
        <v>0.77219401030899326</v>
      </c>
      <c r="BG15">
        <f t="shared" si="18"/>
        <v>0.85661233715796559</v>
      </c>
      <c r="BL15" s="9">
        <v>1.5</v>
      </c>
      <c r="BM15" s="7">
        <f t="shared" si="22"/>
        <v>0.5841262759074507</v>
      </c>
      <c r="BN15" s="3">
        <f t="shared" si="23"/>
        <v>0.59385328184113018</v>
      </c>
      <c r="BO15" s="3">
        <f t="shared" si="23"/>
        <v>0.20574905401848093</v>
      </c>
      <c r="BP15" s="3">
        <f t="shared" si="23"/>
        <v>0.20466995735431442</v>
      </c>
      <c r="BQ15" s="3">
        <f t="shared" si="23"/>
        <v>0.40676521726160125</v>
      </c>
      <c r="BR15" s="3">
        <f t="shared" si="23"/>
        <v>0.20574905401848093</v>
      </c>
      <c r="BS15" s="3">
        <f t="shared" si="23"/>
        <v>0.20574905401848093</v>
      </c>
      <c r="BT15" s="4">
        <f t="shared" si="24"/>
        <v>0.61760963099471644</v>
      </c>
      <c r="BV15" t="s">
        <v>3</v>
      </c>
      <c r="BW15" s="2">
        <f t="shared" si="14"/>
        <v>0.59385328184113018</v>
      </c>
      <c r="CB15" s="9">
        <v>1.5</v>
      </c>
      <c r="CC15" s="7">
        <v>0.5841262759074507</v>
      </c>
      <c r="CD15" s="3">
        <v>0.59385328184113018</v>
      </c>
      <c r="CE15" s="3">
        <v>0.20574905401848093</v>
      </c>
      <c r="CF15" s="3">
        <v>0.20466995735431442</v>
      </c>
      <c r="CG15" s="3">
        <v>0.40676521726160125</v>
      </c>
      <c r="CH15" s="3">
        <v>0.20574905401848093</v>
      </c>
      <c r="CI15" s="3">
        <v>0.20574905401848093</v>
      </c>
      <c r="CJ15" s="4">
        <v>0.61760963099471644</v>
      </c>
    </row>
    <row r="16" spans="1:88" x14ac:dyDescent="0.3">
      <c r="A16">
        <v>2</v>
      </c>
      <c r="B16">
        <v>0.73533886647771196</v>
      </c>
      <c r="C16">
        <v>0.716695831578681</v>
      </c>
      <c r="D16">
        <v>0.901767264166774</v>
      </c>
      <c r="E16">
        <v>0.90153862024662901</v>
      </c>
      <c r="F16">
        <v>0.82032173205568204</v>
      </c>
      <c r="G16">
        <v>0.92077420828113998</v>
      </c>
      <c r="H16">
        <v>0.93033526756280505</v>
      </c>
      <c r="I16">
        <v>0.806488855274061</v>
      </c>
      <c r="J16">
        <v>2</v>
      </c>
      <c r="K16">
        <v>2.30120944376679</v>
      </c>
      <c r="L16">
        <v>2.0999633800678201</v>
      </c>
      <c r="M16">
        <v>3.5529054942023</v>
      </c>
      <c r="N16">
        <v>3.5440586255215099</v>
      </c>
      <c r="O16">
        <v>2.63701835180118</v>
      </c>
      <c r="P16">
        <v>3.6775408314697402</v>
      </c>
      <c r="Q16">
        <v>3.82861298500297</v>
      </c>
      <c r="R16">
        <v>2.1299346212039598</v>
      </c>
      <c r="S16">
        <v>2</v>
      </c>
      <c r="T16">
        <v>0.941947611251721</v>
      </c>
      <c r="U16">
        <v>0.93147437461406501</v>
      </c>
      <c r="V16">
        <v>0.91202780209614098</v>
      </c>
      <c r="W16">
        <v>0.91206710731237395</v>
      </c>
      <c r="X16">
        <v>0.91356968175962106</v>
      </c>
      <c r="Y16">
        <v>0.90878515999172504</v>
      </c>
      <c r="Z16">
        <v>0.90898781889491498</v>
      </c>
      <c r="AA16">
        <v>0.90043808496291999</v>
      </c>
      <c r="AB16">
        <v>2</v>
      </c>
      <c r="AC16">
        <v>-0.98164974520423098</v>
      </c>
      <c r="AD16">
        <v>-0.937674345054896</v>
      </c>
      <c r="AE16">
        <v>-2.1178535288276499</v>
      </c>
      <c r="AF16">
        <v>-2.1097409435627799</v>
      </c>
      <c r="AG16">
        <v>-1.78434130562964</v>
      </c>
      <c r="AH16">
        <v>-2.2078372045921801</v>
      </c>
      <c r="AI16">
        <v>-2.3244498887544598</v>
      </c>
      <c r="AJ16">
        <v>-0.237847781528359</v>
      </c>
      <c r="AO16">
        <v>2</v>
      </c>
      <c r="AP16">
        <f t="shared" si="4"/>
        <v>0.66982832857115382</v>
      </c>
      <c r="AQ16">
        <f t="shared" si="20"/>
        <v>0.67819916584595186</v>
      </c>
      <c r="AR16">
        <f t="shared" si="20"/>
        <v>0.59510095491629222</v>
      </c>
      <c r="AS16">
        <f t="shared" si="20"/>
        <v>0.59520361744198991</v>
      </c>
      <c r="AT16">
        <f t="shared" si="20"/>
        <v>0.63167049950780751</v>
      </c>
      <c r="AU16">
        <f t="shared" si="20"/>
        <v>0.58656672016673395</v>
      </c>
      <c r="AV16">
        <f t="shared" si="20"/>
        <v>0.58227374577415392</v>
      </c>
      <c r="AW16">
        <f t="shared" si="16"/>
        <v>0.63788154621819593</v>
      </c>
      <c r="AY16">
        <v>2</v>
      </c>
      <c r="AZ16">
        <f t="shared" si="6"/>
        <v>0.78911802874306258</v>
      </c>
      <c r="BA16">
        <f t="shared" si="21"/>
        <v>0.80756014262169784</v>
      </c>
      <c r="BB16">
        <f t="shared" si="21"/>
        <v>0.67441307164089914</v>
      </c>
      <c r="BC16">
        <f t="shared" si="21"/>
        <v>0.67522379537224375</v>
      </c>
      <c r="BD16">
        <f t="shared" si="21"/>
        <v>0.75834462622476995</v>
      </c>
      <c r="BE16">
        <f t="shared" si="21"/>
        <v>0.6629915360295171</v>
      </c>
      <c r="BF16">
        <f t="shared" si="21"/>
        <v>0.64914734048034095</v>
      </c>
      <c r="BG16">
        <f t="shared" si="18"/>
        <v>0.80481358931299063</v>
      </c>
      <c r="BL16" s="9">
        <v>2</v>
      </c>
      <c r="BM16" s="7">
        <f t="shared" si="22"/>
        <v>0.35481105584042666</v>
      </c>
      <c r="BN16" s="3">
        <f t="shared" si="23"/>
        <v>0.36988983450670465</v>
      </c>
      <c r="BO16" s="3">
        <f t="shared" si="23"/>
        <v>1.5922074956420618E-2</v>
      </c>
      <c r="BP16" s="3">
        <f t="shared" si="23"/>
        <v>1.8188394140956965E-2</v>
      </c>
      <c r="BQ16" s="3">
        <f t="shared" si="23"/>
        <v>0.12981087546563957</v>
      </c>
      <c r="BR16" s="3">
        <f t="shared" si="23"/>
        <v>-1.2373447101051038E-2</v>
      </c>
      <c r="BS16" s="3">
        <f t="shared" si="23"/>
        <v>-4.601024590126257E-2</v>
      </c>
      <c r="BT16" s="4">
        <f t="shared" si="24"/>
        <v>0.5263213597414369</v>
      </c>
      <c r="BV16" t="s">
        <v>3</v>
      </c>
      <c r="BW16" s="2">
        <f t="shared" si="14"/>
        <v>0.36988983450670465</v>
      </c>
      <c r="CB16" s="9">
        <v>2</v>
      </c>
      <c r="CC16" s="7">
        <v>0.35481105584042666</v>
      </c>
      <c r="CD16" s="3">
        <v>0.36988983450670465</v>
      </c>
      <c r="CE16" s="3">
        <v>1.5922074956420618E-2</v>
      </c>
      <c r="CF16" s="3">
        <v>1.8188394140956965E-2</v>
      </c>
      <c r="CG16" s="3">
        <v>0.12981087546563957</v>
      </c>
      <c r="CH16" s="3">
        <v>-1.2373447101051038E-2</v>
      </c>
      <c r="CI16" s="3">
        <v>-4.601024590126257E-2</v>
      </c>
      <c r="CJ16" s="4">
        <v>0.5263213597414369</v>
      </c>
    </row>
    <row r="17" spans="1:88" ht="15" thickBot="1" x14ac:dyDescent="0.35">
      <c r="A17">
        <v>2.5</v>
      </c>
      <c r="B17">
        <v>0.76822495882729203</v>
      </c>
      <c r="C17">
        <v>0.758634551782146</v>
      </c>
      <c r="D17">
        <v>0.99108017378023205</v>
      </c>
      <c r="E17">
        <v>0.99048776863107502</v>
      </c>
      <c r="F17">
        <v>0.89762502094473795</v>
      </c>
      <c r="G17">
        <v>0.99108017378023205</v>
      </c>
      <c r="H17">
        <v>0.99108017378023205</v>
      </c>
      <c r="I17">
        <v>0.84918637018892196</v>
      </c>
      <c r="J17">
        <v>2.5</v>
      </c>
      <c r="K17">
        <v>1.89744498922752</v>
      </c>
      <c r="L17">
        <v>1.8492935526168399</v>
      </c>
      <c r="M17">
        <v>3.64909157869281</v>
      </c>
      <c r="N17">
        <v>3.6366586584466001</v>
      </c>
      <c r="O17">
        <v>2.65255085994561</v>
      </c>
      <c r="P17">
        <v>3.64909157869281</v>
      </c>
      <c r="Q17">
        <v>3.64909157869281</v>
      </c>
      <c r="R17">
        <v>1.9450599758980001</v>
      </c>
      <c r="S17">
        <v>2.5</v>
      </c>
      <c r="T17">
        <v>0.93082751898223204</v>
      </c>
      <c r="U17">
        <v>0.91497223259907701</v>
      </c>
      <c r="V17">
        <v>0.89378511403316296</v>
      </c>
      <c r="W17">
        <v>0.89374090349892898</v>
      </c>
      <c r="X17">
        <v>0.89435159158359201</v>
      </c>
      <c r="Y17">
        <v>0.89378511403316296</v>
      </c>
      <c r="Z17">
        <v>0.89378511403316296</v>
      </c>
      <c r="AA17">
        <v>0.89723223160500498</v>
      </c>
      <c r="AB17">
        <v>2.5</v>
      </c>
      <c r="AC17">
        <v>-0.52419162442453804</v>
      </c>
      <c r="AD17">
        <v>-0.53163358287362295</v>
      </c>
      <c r="AE17">
        <v>-2.1778184199072199</v>
      </c>
      <c r="AF17">
        <v>-2.1777041559771</v>
      </c>
      <c r="AG17">
        <v>-1.7456946438944401</v>
      </c>
      <c r="AH17">
        <v>-2.1778184199072199</v>
      </c>
      <c r="AI17">
        <v>-2.1778184199072199</v>
      </c>
      <c r="AJ17">
        <v>-0.33395234678087599</v>
      </c>
      <c r="AO17">
        <v>2.5</v>
      </c>
      <c r="AP17">
        <f t="shared" si="4"/>
        <v>0.65506227094409741</v>
      </c>
      <c r="AQ17">
        <f t="shared" si="20"/>
        <v>0.65936842266289108</v>
      </c>
      <c r="AR17">
        <f t="shared" si="20"/>
        <v>0.55499890946274522</v>
      </c>
      <c r="AS17">
        <f t="shared" si="20"/>
        <v>0.5552649030164345</v>
      </c>
      <c r="AT17">
        <f t="shared" si="20"/>
        <v>0.59696084758677692</v>
      </c>
      <c r="AU17">
        <f t="shared" si="20"/>
        <v>0.55499890946274522</v>
      </c>
      <c r="AV17">
        <f t="shared" si="20"/>
        <v>0.55499890946274522</v>
      </c>
      <c r="AW17">
        <f t="shared" si="16"/>
        <v>0.61871009954514689</v>
      </c>
      <c r="AY17">
        <v>2.5</v>
      </c>
      <c r="AZ17">
        <f t="shared" si="6"/>
        <v>0.82611885208287517</v>
      </c>
      <c r="BA17">
        <f t="shared" si="21"/>
        <v>0.83053143169348742</v>
      </c>
      <c r="BB17">
        <f t="shared" si="21"/>
        <v>0.66559861489521377</v>
      </c>
      <c r="BC17">
        <f t="shared" si="21"/>
        <v>0.66673796304846544</v>
      </c>
      <c r="BD17">
        <f t="shared" si="21"/>
        <v>0.75692123299781533</v>
      </c>
      <c r="BE17">
        <f t="shared" si="21"/>
        <v>0.66559861489521377</v>
      </c>
      <c r="BF17">
        <f t="shared" si="21"/>
        <v>0.66559861489521377</v>
      </c>
      <c r="BG17">
        <f t="shared" si="18"/>
        <v>0.82175543254379679</v>
      </c>
      <c r="BL17" s="10">
        <v>2.5</v>
      </c>
      <c r="BM17" s="8">
        <f t="shared" si="22"/>
        <v>0.47195425439616667</v>
      </c>
      <c r="BN17" s="5">
        <f t="shared" si="23"/>
        <v>0.46830962602045811</v>
      </c>
      <c r="BO17" s="5">
        <f t="shared" si="23"/>
        <v>-1.5858945379024436E-2</v>
      </c>
      <c r="BP17" s="5">
        <f t="shared" si="23"/>
        <v>-1.5490096603317793E-2</v>
      </c>
      <c r="BQ17" s="5">
        <f t="shared" si="23"/>
        <v>0.12563475706843602</v>
      </c>
      <c r="BR17" s="5">
        <f t="shared" si="23"/>
        <v>-1.5858945379024436E-2</v>
      </c>
      <c r="BS17" s="5">
        <f t="shared" si="23"/>
        <v>-1.5858945379024436E-2</v>
      </c>
      <c r="BT17" s="6">
        <f t="shared" si="24"/>
        <v>0.5009363542282681</v>
      </c>
      <c r="BV17" t="s">
        <v>2</v>
      </c>
      <c r="BW17" s="2">
        <f t="shared" si="14"/>
        <v>0.47195425439616667</v>
      </c>
      <c r="CB17" s="10">
        <v>2.5</v>
      </c>
      <c r="CC17" s="8">
        <v>0.47195425439616667</v>
      </c>
      <c r="CD17" s="5">
        <v>0.46830962602045811</v>
      </c>
      <c r="CE17" s="5">
        <v>-1.5858945379024436E-2</v>
      </c>
      <c r="CF17" s="5">
        <v>-1.5490096603317793E-2</v>
      </c>
      <c r="CG17" s="5">
        <v>0.12563475706843602</v>
      </c>
      <c r="CH17" s="5">
        <v>-1.5858945379024436E-2</v>
      </c>
      <c r="CI17" s="5">
        <v>-1.5858945379024436E-2</v>
      </c>
      <c r="CJ17" s="6">
        <v>0.5009363542282681</v>
      </c>
    </row>
    <row r="18" spans="1:88" ht="15" thickBot="1" x14ac:dyDescent="0.35">
      <c r="A18" t="s">
        <v>10</v>
      </c>
      <c r="J18" t="s">
        <v>10</v>
      </c>
      <c r="S18" t="s">
        <v>10</v>
      </c>
      <c r="AB18" t="s">
        <v>10</v>
      </c>
      <c r="AO18" t="s">
        <v>10</v>
      </c>
      <c r="AY18" t="s">
        <v>10</v>
      </c>
      <c r="BL18" t="s">
        <v>10</v>
      </c>
      <c r="BW18" s="2"/>
      <c r="CB18" t="s">
        <v>10</v>
      </c>
    </row>
    <row r="19" spans="1:88" ht="15" thickBot="1" x14ac:dyDescent="0.35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J19" t="s">
        <v>1</v>
      </c>
      <c r="K19" t="s">
        <v>2</v>
      </c>
      <c r="L19" t="s">
        <v>3</v>
      </c>
      <c r="M19" t="s">
        <v>4</v>
      </c>
      <c r="N19" t="s">
        <v>5</v>
      </c>
      <c r="O19" t="s">
        <v>6</v>
      </c>
      <c r="P19" t="s">
        <v>7</v>
      </c>
      <c r="Q19" t="s">
        <v>8</v>
      </c>
      <c r="S19" t="s">
        <v>1</v>
      </c>
      <c r="T19" t="s">
        <v>2</v>
      </c>
      <c r="U19" t="s">
        <v>3</v>
      </c>
      <c r="V19" t="s">
        <v>4</v>
      </c>
      <c r="W19" t="s">
        <v>5</v>
      </c>
      <c r="X19" t="s">
        <v>6</v>
      </c>
      <c r="Y19" t="s">
        <v>7</v>
      </c>
      <c r="Z19" t="s">
        <v>8</v>
      </c>
      <c r="AB19" t="s">
        <v>1</v>
      </c>
      <c r="AC19" t="s">
        <v>2</v>
      </c>
      <c r="AD19" t="s">
        <v>3</v>
      </c>
      <c r="AE19" t="s">
        <v>4</v>
      </c>
      <c r="AF19" t="s">
        <v>5</v>
      </c>
      <c r="AG19" t="s">
        <v>6</v>
      </c>
      <c r="AH19" t="s">
        <v>7</v>
      </c>
      <c r="AI19" t="s">
        <v>8</v>
      </c>
      <c r="AO19" t="s">
        <v>1</v>
      </c>
      <c r="AY19" t="s">
        <v>1</v>
      </c>
      <c r="BL19" s="15" t="s">
        <v>1</v>
      </c>
      <c r="BM19" s="16" t="s">
        <v>2</v>
      </c>
      <c r="BN19" s="17" t="s">
        <v>3</v>
      </c>
      <c r="BO19" s="17" t="s">
        <v>4</v>
      </c>
      <c r="BP19" s="17" t="s">
        <v>5</v>
      </c>
      <c r="BQ19" s="17" t="s">
        <v>6</v>
      </c>
      <c r="BR19" s="17" t="s">
        <v>7</v>
      </c>
      <c r="BS19" s="17" t="s">
        <v>8</v>
      </c>
      <c r="BT19" s="18" t="s">
        <v>23</v>
      </c>
      <c r="BW19" s="2"/>
      <c r="CB19" s="15" t="s">
        <v>1</v>
      </c>
      <c r="CC19" s="16" t="s">
        <v>2</v>
      </c>
      <c r="CD19" s="17" t="s">
        <v>3</v>
      </c>
      <c r="CE19" s="17" t="s">
        <v>4</v>
      </c>
      <c r="CF19" s="17" t="s">
        <v>5</v>
      </c>
      <c r="CG19" s="17" t="s">
        <v>6</v>
      </c>
      <c r="CH19" s="17" t="s">
        <v>7</v>
      </c>
      <c r="CI19" s="17" t="s">
        <v>8</v>
      </c>
      <c r="CJ19" s="18" t="s">
        <v>23</v>
      </c>
    </row>
    <row r="20" spans="1:88" x14ac:dyDescent="0.3">
      <c r="A20">
        <v>0.2</v>
      </c>
      <c r="B20">
        <v>0.18550745814615699</v>
      </c>
      <c r="C20">
        <v>0.21806212664720401</v>
      </c>
      <c r="D20">
        <v>0.218391941839125</v>
      </c>
      <c r="E20">
        <v>0.21839293226561601</v>
      </c>
      <c r="F20">
        <v>0.276330849381834</v>
      </c>
      <c r="G20">
        <v>0.47977384506028797</v>
      </c>
      <c r="H20">
        <v>0.47492003385265402</v>
      </c>
      <c r="I20" s="19">
        <v>0.220477208067797</v>
      </c>
      <c r="J20">
        <v>0.2</v>
      </c>
      <c r="K20">
        <v>0.16128617512728299</v>
      </c>
      <c r="L20">
        <v>0.22149668164121</v>
      </c>
      <c r="M20">
        <v>0.21726808360626201</v>
      </c>
      <c r="N20">
        <v>0.21728143141983</v>
      </c>
      <c r="O20">
        <v>0.31960126196022198</v>
      </c>
      <c r="P20">
        <v>0.971233074860537</v>
      </c>
      <c r="Q20">
        <v>0.94781142181129996</v>
      </c>
      <c r="R20" s="20">
        <v>0.22193553999999999</v>
      </c>
      <c r="S20">
        <v>0.2</v>
      </c>
      <c r="T20">
        <v>0.99306315592242</v>
      </c>
      <c r="U20">
        <v>0.99177855274781801</v>
      </c>
      <c r="V20">
        <v>0.99103954205505096</v>
      </c>
      <c r="W20">
        <v>0.99104082756881895</v>
      </c>
      <c r="X20">
        <v>0.98817893144596802</v>
      </c>
      <c r="Y20">
        <v>0.97999137293502203</v>
      </c>
      <c r="Z20">
        <v>0.98037264221751197</v>
      </c>
      <c r="AA20">
        <v>0.98835041800000001</v>
      </c>
      <c r="AB20">
        <v>0.2</v>
      </c>
      <c r="AC20">
        <v>0.93057373480083405</v>
      </c>
      <c r="AD20">
        <v>0.90737540214136203</v>
      </c>
      <c r="AE20">
        <v>0.91026673222962196</v>
      </c>
      <c r="AF20">
        <v>0.91028717531042003</v>
      </c>
      <c r="AG20">
        <v>0.87098335370004898</v>
      </c>
      <c r="AH20">
        <v>0.693283470757596</v>
      </c>
      <c r="AI20">
        <v>0.70528054218841296</v>
      </c>
      <c r="AJ20">
        <v>0.94171516499999997</v>
      </c>
      <c r="AO20">
        <v>0.2</v>
      </c>
      <c r="AP20">
        <f t="shared" si="4"/>
        <v>0.91670601091437098</v>
      </c>
      <c r="AQ20">
        <f t="shared" ref="AQ20:AQ49" si="25">1-(C20/$AM$3)</f>
        <v>0.90208876463268195</v>
      </c>
      <c r="AR20">
        <f t="shared" ref="AR20:AR49" si="26">1-(D20/$AM$3)</f>
        <v>0.90194067558402224</v>
      </c>
      <c r="AS20">
        <f t="shared" ref="AS20:AS49" si="27">1-(E20/$AM$3)</f>
        <v>0.90194023087643937</v>
      </c>
      <c r="AT20">
        <f t="shared" ref="AT20:AT49" si="28">1-(F20/$AM$3)</f>
        <v>0.87592574992699879</v>
      </c>
      <c r="AU20">
        <f t="shared" ref="AU20:AU49" si="29">1-(G20/$AM$3)</f>
        <v>0.78457859423346432</v>
      </c>
      <c r="AV20">
        <f t="shared" ref="AV20:AV49" si="30">1-(H20/$AM$3)</f>
        <v>0.7867579853037352</v>
      </c>
      <c r="AW20">
        <f t="shared" si="16"/>
        <v>0.90100437822850143</v>
      </c>
      <c r="AY20">
        <v>0.2</v>
      </c>
      <c r="AZ20">
        <f t="shared" si="6"/>
        <v>0.9852197953387245</v>
      </c>
      <c r="BA20">
        <f t="shared" ref="BA20:BA49" si="31">1-(L20/$AM$4)</f>
        <v>0.9797021270802232</v>
      </c>
      <c r="BB20">
        <f t="shared" ref="BB20:BB49" si="32">1-(M20/$AM$4)</f>
        <v>0.98008963421986162</v>
      </c>
      <c r="BC20">
        <f t="shared" ref="BC20:BC49" si="33">1-(N20/$AM$4)</f>
        <v>0.98008841103122712</v>
      </c>
      <c r="BD20">
        <f t="shared" ref="BD20:BD49" si="34">1-(O20/$AM$4)</f>
        <v>0.9707118600955964</v>
      </c>
      <c r="BE20">
        <f t="shared" ref="BE20:BE49" si="35">1-(P20/$AM$4)</f>
        <v>0.91099656490142444</v>
      </c>
      <c r="BF20">
        <f t="shared" ref="BF20:BF49" si="36">1-(Q20/$AM$4)</f>
        <v>0.91314291641171297</v>
      </c>
      <c r="BG20">
        <f t="shared" si="18"/>
        <v>0.97966191026464611</v>
      </c>
      <c r="BL20" s="11">
        <v>0.2</v>
      </c>
      <c r="BM20" s="12">
        <f t="shared" si="22"/>
        <v>0.9563906742440873</v>
      </c>
      <c r="BN20" s="13">
        <f t="shared" ref="BN20:BN49" si="37">($BJ$3*AQ20)+($BJ$4*BA20)+($BJ$5*U20)+($BJ$6*AD20)</f>
        <v>0.9452362116505213</v>
      </c>
      <c r="BO20" s="13">
        <f t="shared" ref="BO20:BO49" si="38">($BJ$3*AR20)+($BJ$4*BB20)+($BJ$5*V20)+($BJ$6*AE20)</f>
        <v>0.94583414602213911</v>
      </c>
      <c r="BP20" s="13">
        <f t="shared" ref="BP20:BP49" si="39">($BJ$3*AS20)+($BJ$4*BC20)+($BJ$5*W20)+($BJ$6*AF20)</f>
        <v>0.94583916119672629</v>
      </c>
      <c r="BQ20" s="13">
        <f t="shared" ref="BQ20:BQ49" si="40">($BJ$3*AT20)+($BJ$4*BD20)+($BJ$5*X20)+($BJ$6*AG20)</f>
        <v>0.9264499737921531</v>
      </c>
      <c r="BR20" s="13">
        <f t="shared" ref="BR20:BR49" si="41">($BJ$3*AU20)+($BJ$4*BE20)+($BJ$5*Y20)+($BJ$6*AH20)</f>
        <v>0.8422125007068767</v>
      </c>
      <c r="BS20" s="13">
        <f t="shared" ref="BS20:BS44" si="42">($BJ$3*AV20)+($BJ$4*BF20)+($BJ$5*Z20)+($BJ$6*AI20)</f>
        <v>0.84638852153034327</v>
      </c>
      <c r="BT20" s="4">
        <f t="shared" ref="BT20:BT25" si="43">($BJ$3*AW20)+($BJ$4*BG20)+($BJ$5*AA20)+($BJ$6*AJ20)</f>
        <v>0.95268296787328688</v>
      </c>
      <c r="BV20" t="s">
        <v>2</v>
      </c>
      <c r="BW20" s="2">
        <f t="shared" si="14"/>
        <v>0.9563906742440873</v>
      </c>
      <c r="CB20" s="11">
        <v>0.2</v>
      </c>
      <c r="CC20" s="12">
        <v>0.9563906742440873</v>
      </c>
      <c r="CD20" s="13">
        <v>0.9452362116505213</v>
      </c>
      <c r="CE20" s="13">
        <v>0.94583414602213911</v>
      </c>
      <c r="CF20" s="13">
        <v>0.94583916119672629</v>
      </c>
      <c r="CG20" s="13">
        <v>0.9264499737921531</v>
      </c>
      <c r="CH20" s="13">
        <v>0.8422125007068767</v>
      </c>
      <c r="CI20" s="13">
        <v>0.84638852153034327</v>
      </c>
      <c r="CJ20" s="14" t="s">
        <v>24</v>
      </c>
    </row>
    <row r="21" spans="1:88" x14ac:dyDescent="0.3">
      <c r="A21">
        <v>0.5</v>
      </c>
      <c r="B21">
        <v>0.67215936991157299</v>
      </c>
      <c r="C21">
        <v>0.68383707042967001</v>
      </c>
      <c r="D21">
        <v>0.93589996203316395</v>
      </c>
      <c r="E21">
        <v>0.95805629934102299</v>
      </c>
      <c r="F21">
        <v>0.74561945169142696</v>
      </c>
      <c r="G21">
        <v>0.93589996203316395</v>
      </c>
      <c r="H21">
        <v>0.93589996203316395</v>
      </c>
      <c r="I21">
        <v>0.71829032431157103</v>
      </c>
      <c r="J21">
        <v>0.5</v>
      </c>
      <c r="K21">
        <v>1.55459647092051</v>
      </c>
      <c r="L21">
        <v>1.50891791733863</v>
      </c>
      <c r="M21">
        <v>2.9096437629804699</v>
      </c>
      <c r="N21">
        <v>9.0998379531072899</v>
      </c>
      <c r="O21">
        <v>1.6380532449257099</v>
      </c>
      <c r="P21">
        <v>2.9096437629804699</v>
      </c>
      <c r="Q21">
        <v>2.9096437629804699</v>
      </c>
      <c r="R21">
        <v>1.6616165193636501</v>
      </c>
      <c r="S21">
        <v>0.5</v>
      </c>
      <c r="T21">
        <v>0.97488585656966198</v>
      </c>
      <c r="U21">
        <v>0.971106876163771</v>
      </c>
      <c r="V21">
        <v>0.95846698254691598</v>
      </c>
      <c r="W21">
        <v>0.95817097658838202</v>
      </c>
      <c r="X21">
        <v>0.96235992908537304</v>
      </c>
      <c r="Y21">
        <v>0.95846698254691598</v>
      </c>
      <c r="Z21">
        <v>0.95846698254691598</v>
      </c>
      <c r="AA21">
        <v>0.95213670339411505</v>
      </c>
      <c r="AB21">
        <v>0.5</v>
      </c>
      <c r="AC21">
        <v>0.52596677531066405</v>
      </c>
      <c r="AD21">
        <v>0.49030420108293599</v>
      </c>
      <c r="AE21">
        <v>0.20336960069229401</v>
      </c>
      <c r="AF21">
        <v>0.205306543018386</v>
      </c>
      <c r="AG21">
        <v>0.43720844528369202</v>
      </c>
      <c r="AH21">
        <v>0.20336960069229401</v>
      </c>
      <c r="AI21">
        <v>0.20336960069229401</v>
      </c>
      <c r="AJ21">
        <v>0.72027143698810203</v>
      </c>
      <c r="AO21">
        <v>0.5</v>
      </c>
      <c r="AP21">
        <f t="shared" si="4"/>
        <v>0.69819631091539647</v>
      </c>
      <c r="AQ21">
        <f t="shared" si="25"/>
        <v>0.6929529515959385</v>
      </c>
      <c r="AR21">
        <f t="shared" si="26"/>
        <v>0.57977516374887628</v>
      </c>
      <c r="AS21">
        <f t="shared" si="27"/>
        <v>0.56982683209503893</v>
      </c>
      <c r="AT21">
        <f t="shared" si="28"/>
        <v>0.66521228261191057</v>
      </c>
      <c r="AU21">
        <f t="shared" si="29"/>
        <v>0.57977516374887628</v>
      </c>
      <c r="AV21">
        <f t="shared" si="30"/>
        <v>0.57977516374887628</v>
      </c>
      <c r="AW21">
        <f t="shared" si="16"/>
        <v>0.67748322880699019</v>
      </c>
      <c r="AY21">
        <v>0.5</v>
      </c>
      <c r="AZ21">
        <f t="shared" si="6"/>
        <v>0.85753736184909424</v>
      </c>
      <c r="BA21">
        <f t="shared" si="31"/>
        <v>0.86172332738543622</v>
      </c>
      <c r="BB21">
        <f t="shared" si="32"/>
        <v>0.73336133568598494</v>
      </c>
      <c r="BC21">
        <f t="shared" si="33"/>
        <v>0.16609425931747812</v>
      </c>
      <c r="BD21">
        <f t="shared" si="34"/>
        <v>0.84988941434712628</v>
      </c>
      <c r="BE21">
        <f t="shared" si="35"/>
        <v>0.73336133568598494</v>
      </c>
      <c r="BF21">
        <f t="shared" si="36"/>
        <v>0.73336133568598494</v>
      </c>
      <c r="BG21">
        <f t="shared" si="18"/>
        <v>0.84773008470583677</v>
      </c>
      <c r="BL21" s="9">
        <v>0.5</v>
      </c>
      <c r="BM21" s="7">
        <f t="shared" si="22"/>
        <v>0.76414657616120418</v>
      </c>
      <c r="BN21" s="3">
        <f t="shared" si="37"/>
        <v>0.75402183905702047</v>
      </c>
      <c r="BO21" s="3">
        <f t="shared" si="38"/>
        <v>0.61874327066851775</v>
      </c>
      <c r="BP21" s="3">
        <f t="shared" si="39"/>
        <v>0.47484965275482127</v>
      </c>
      <c r="BQ21" s="3">
        <f t="shared" si="40"/>
        <v>0.72866751783202555</v>
      </c>
      <c r="BR21" s="3">
        <f t="shared" si="41"/>
        <v>0.61874327066851775</v>
      </c>
      <c r="BS21" s="3">
        <f t="shared" ref="BS21:BS25" si="44">($BJ$3*AV21)+($BJ$4*BF21)+($BJ$5*Z21)+($BJ$6*AI21)</f>
        <v>0.61874327066851775</v>
      </c>
      <c r="BT21" s="4">
        <f t="shared" si="43"/>
        <v>0.79940536347376101</v>
      </c>
      <c r="BV21" t="s">
        <v>2</v>
      </c>
      <c r="BW21" s="2">
        <f t="shared" si="14"/>
        <v>0.76414657616120418</v>
      </c>
      <c r="CB21" s="9">
        <v>0.5</v>
      </c>
      <c r="CC21" s="7">
        <v>0.76414657616120418</v>
      </c>
      <c r="CD21" s="3">
        <v>0.75402183905702047</v>
      </c>
      <c r="CE21" s="3">
        <v>0.61874327066851775</v>
      </c>
      <c r="CF21" s="3">
        <v>0.47484965275482127</v>
      </c>
      <c r="CG21" s="3">
        <v>0.72866751783202555</v>
      </c>
      <c r="CH21" s="3">
        <v>0.61874327066851775</v>
      </c>
      <c r="CI21" s="3">
        <v>0.61874327066851775</v>
      </c>
      <c r="CJ21" s="4">
        <v>0.79940536347376101</v>
      </c>
    </row>
    <row r="22" spans="1:88" x14ac:dyDescent="0.3">
      <c r="A22">
        <v>1</v>
      </c>
      <c r="B22">
        <v>1.14016377525553</v>
      </c>
      <c r="C22">
        <v>1.16075406149174</v>
      </c>
      <c r="D22">
        <v>1.4011220871271299</v>
      </c>
      <c r="E22">
        <v>1.40051116099262</v>
      </c>
      <c r="F22">
        <v>1.2772876218770099</v>
      </c>
      <c r="G22">
        <v>1.5015401035134199</v>
      </c>
      <c r="H22">
        <v>1.5131083129840699</v>
      </c>
      <c r="I22">
        <v>1.2098621318884999</v>
      </c>
      <c r="J22">
        <v>1</v>
      </c>
      <c r="K22">
        <v>3.5962950350560701</v>
      </c>
      <c r="L22">
        <v>3.60321228475842</v>
      </c>
      <c r="M22">
        <v>5.63069882596377</v>
      </c>
      <c r="N22">
        <v>5.6209855784979501</v>
      </c>
      <c r="O22">
        <v>4.0731758687808703</v>
      </c>
      <c r="P22">
        <v>6.6291328738873396</v>
      </c>
      <c r="Q22">
        <v>6.7369665058819796</v>
      </c>
      <c r="R22">
        <v>3.84830553864303</v>
      </c>
      <c r="S22">
        <v>1</v>
      </c>
      <c r="T22">
        <v>0.95182565231312</v>
      </c>
      <c r="U22">
        <v>0.94697207750092505</v>
      </c>
      <c r="V22">
        <v>0.92717455302837504</v>
      </c>
      <c r="W22">
        <v>0.92722059052428496</v>
      </c>
      <c r="X22">
        <v>0.92784005941727798</v>
      </c>
      <c r="Y22">
        <v>0.92222194815245295</v>
      </c>
      <c r="Z22">
        <v>0.92294692105070597</v>
      </c>
      <c r="AA22">
        <v>0.91978956746098595</v>
      </c>
      <c r="AB22">
        <v>1</v>
      </c>
      <c r="AC22">
        <v>8.9983290382171593E-2</v>
      </c>
      <c r="AD22">
        <v>-2.2179994088912601E-2</v>
      </c>
      <c r="AE22">
        <v>-0.49463102209062298</v>
      </c>
      <c r="AF22">
        <v>-0.486263063837517</v>
      </c>
      <c r="AG22">
        <v>-0.36397089755887901</v>
      </c>
      <c r="AH22">
        <v>-0.65329994542746395</v>
      </c>
      <c r="AI22">
        <v>-0.65409167806517898</v>
      </c>
      <c r="AJ22">
        <v>0.30416879355556298</v>
      </c>
      <c r="AO22">
        <v>1</v>
      </c>
      <c r="AP22">
        <f t="shared" si="4"/>
        <v>0.48805945593227817</v>
      </c>
      <c r="AQ22">
        <f t="shared" si="25"/>
        <v>0.4788142908366646</v>
      </c>
      <c r="AR22">
        <f t="shared" si="26"/>
        <v>0.3708875697016355</v>
      </c>
      <c r="AS22">
        <f t="shared" si="27"/>
        <v>0.37116187929160305</v>
      </c>
      <c r="AT22">
        <f t="shared" si="28"/>
        <v>0.42649000585189267</v>
      </c>
      <c r="AU22">
        <f t="shared" si="29"/>
        <v>0.32579926304018469</v>
      </c>
      <c r="AV22">
        <f t="shared" si="30"/>
        <v>0.32060506587410953</v>
      </c>
      <c r="AW22">
        <f t="shared" si="16"/>
        <v>0.45676446534435855</v>
      </c>
      <c r="AY22">
        <v>1</v>
      </c>
      <c r="AZ22">
        <f t="shared" si="6"/>
        <v>0.67043687037336097</v>
      </c>
      <c r="BA22">
        <f t="shared" si="31"/>
        <v>0.66980297620225049</v>
      </c>
      <c r="BB22">
        <f t="shared" si="32"/>
        <v>0.48400486918317298</v>
      </c>
      <c r="BC22">
        <f t="shared" si="33"/>
        <v>0.48489498754178073</v>
      </c>
      <c r="BD22">
        <f t="shared" si="34"/>
        <v>0.62673568943872837</v>
      </c>
      <c r="BE22">
        <f t="shared" si="35"/>
        <v>0.39250874710420247</v>
      </c>
      <c r="BF22">
        <f t="shared" si="36"/>
        <v>0.38262691346910238</v>
      </c>
      <c r="BG22">
        <f t="shared" si="18"/>
        <v>0.64734272224276712</v>
      </c>
      <c r="BL22" s="9">
        <v>1</v>
      </c>
      <c r="BM22" s="7">
        <f t="shared" si="22"/>
        <v>0.55007631725023276</v>
      </c>
      <c r="BN22" s="3">
        <f t="shared" si="37"/>
        <v>0.51835233761273192</v>
      </c>
      <c r="BO22" s="3">
        <f t="shared" si="38"/>
        <v>0.32185899245564015</v>
      </c>
      <c r="BP22" s="3">
        <f t="shared" si="39"/>
        <v>0.32425359838003792</v>
      </c>
      <c r="BQ22" s="3">
        <f t="shared" si="40"/>
        <v>0.404273714287255</v>
      </c>
      <c r="BR22" s="3">
        <f t="shared" si="41"/>
        <v>0.24680750321734402</v>
      </c>
      <c r="BS22" s="3">
        <f t="shared" si="44"/>
        <v>0.24302180558218475</v>
      </c>
      <c r="BT22" s="4">
        <f t="shared" si="43"/>
        <v>0.58201638715091863</v>
      </c>
      <c r="BV22" t="s">
        <v>2</v>
      </c>
      <c r="BW22" s="2">
        <f t="shared" si="14"/>
        <v>0.55007631725023276</v>
      </c>
      <c r="CB22" s="9">
        <v>1</v>
      </c>
      <c r="CC22" s="7">
        <v>0.55007631725023276</v>
      </c>
      <c r="CD22" s="3">
        <v>0.51835233761273192</v>
      </c>
      <c r="CE22" s="3">
        <v>0.32185899245564015</v>
      </c>
      <c r="CF22" s="3">
        <v>0.32425359838003792</v>
      </c>
      <c r="CG22" s="3">
        <v>0.404273714287255</v>
      </c>
      <c r="CH22" s="3">
        <v>0.24680750321734402</v>
      </c>
      <c r="CI22" s="3">
        <v>0.24302180558218475</v>
      </c>
      <c r="CJ22" s="4">
        <v>0.58201638715091863</v>
      </c>
    </row>
    <row r="23" spans="1:88" x14ac:dyDescent="0.3">
      <c r="A23">
        <v>1.5</v>
      </c>
      <c r="B23">
        <v>1.4069466023417601</v>
      </c>
      <c r="C23">
        <v>1.37245869187429</v>
      </c>
      <c r="D23">
        <v>1.9259180230327699</v>
      </c>
      <c r="E23">
        <v>1.9359128856371099</v>
      </c>
      <c r="F23">
        <v>1.79598732462327</v>
      </c>
      <c r="G23">
        <v>1.9259180230327699</v>
      </c>
      <c r="H23">
        <v>1.9259180230327699</v>
      </c>
      <c r="I23">
        <v>1.7091561079577999</v>
      </c>
      <c r="J23">
        <v>1.5</v>
      </c>
      <c r="K23">
        <v>5.0275272908266597</v>
      </c>
      <c r="L23">
        <v>4.7636513147724298</v>
      </c>
      <c r="M23">
        <v>10.8973853209775</v>
      </c>
      <c r="N23">
        <v>11.450755042067501</v>
      </c>
      <c r="O23">
        <v>10.0759667153953</v>
      </c>
      <c r="P23">
        <v>10.8973853209775</v>
      </c>
      <c r="Q23">
        <v>10.8973853209775</v>
      </c>
      <c r="R23">
        <v>9.1861696454211508</v>
      </c>
      <c r="S23">
        <v>1.5</v>
      </c>
      <c r="T23">
        <v>0.9416596578484</v>
      </c>
      <c r="U23">
        <v>0.93569435267188805</v>
      </c>
      <c r="V23">
        <v>0.89878993093871296</v>
      </c>
      <c r="W23">
        <v>0.89827229484238502</v>
      </c>
      <c r="X23">
        <v>0.90088757210867099</v>
      </c>
      <c r="Y23">
        <v>0.89878993093871296</v>
      </c>
      <c r="Z23">
        <v>0.89878993093871296</v>
      </c>
      <c r="AA23">
        <v>0.88795971562910803</v>
      </c>
      <c r="AB23">
        <v>1.5</v>
      </c>
      <c r="AC23">
        <v>5.54415275552394E-2</v>
      </c>
      <c r="AD23">
        <v>-5.4527833480059303E-2</v>
      </c>
      <c r="AE23">
        <v>-2.0650904038141298</v>
      </c>
      <c r="AF23">
        <v>-2.0695159814266599</v>
      </c>
      <c r="AG23">
        <v>-1.20101819132333</v>
      </c>
      <c r="AH23">
        <v>-2.0650904038141298</v>
      </c>
      <c r="AI23">
        <v>-2.0650904038141298</v>
      </c>
      <c r="AJ23">
        <v>-1.3352000674104299E-2</v>
      </c>
      <c r="AO23">
        <v>1.5</v>
      </c>
      <c r="AP23">
        <f t="shared" si="4"/>
        <v>0.36827232656497277</v>
      </c>
      <c r="AQ23">
        <f t="shared" si="25"/>
        <v>0.38375761037388745</v>
      </c>
      <c r="AR23">
        <f t="shared" si="26"/>
        <v>0.1352509683792944</v>
      </c>
      <c r="AS23">
        <f t="shared" si="27"/>
        <v>0.1307632136280954</v>
      </c>
      <c r="AT23">
        <f t="shared" si="28"/>
        <v>0.19359065069375037</v>
      </c>
      <c r="AU23">
        <f t="shared" si="29"/>
        <v>0.1352509683792944</v>
      </c>
      <c r="AV23">
        <f t="shared" si="30"/>
        <v>0.1352509683792944</v>
      </c>
      <c r="AW23">
        <f t="shared" si="16"/>
        <v>0.23257840075783265</v>
      </c>
      <c r="AY23">
        <v>1.5</v>
      </c>
      <c r="AZ23">
        <f t="shared" si="6"/>
        <v>0.53927928267922565</v>
      </c>
      <c r="BA23">
        <f t="shared" si="31"/>
        <v>0.56346077826120866</v>
      </c>
      <c r="BB23">
        <f t="shared" si="32"/>
        <v>1.3676919939499266E-3</v>
      </c>
      <c r="BC23">
        <f t="shared" si="33"/>
        <v>-4.9342901921545668E-2</v>
      </c>
      <c r="BD23">
        <f t="shared" si="34"/>
        <v>7.6642185257264517E-2</v>
      </c>
      <c r="BE23">
        <f t="shared" si="35"/>
        <v>1.3676919939499266E-3</v>
      </c>
      <c r="BF23">
        <f t="shared" si="36"/>
        <v>1.3676919939499266E-3</v>
      </c>
      <c r="BG23">
        <f t="shared" si="18"/>
        <v>0.15818285537881982</v>
      </c>
      <c r="BL23" s="9">
        <v>1.5</v>
      </c>
      <c r="BM23" s="7">
        <f t="shared" si="22"/>
        <v>0.47616319866195944</v>
      </c>
      <c r="BN23" s="3">
        <f t="shared" si="37"/>
        <v>0.45709622695673119</v>
      </c>
      <c r="BO23" s="3">
        <f t="shared" si="38"/>
        <v>-0.25742045312554312</v>
      </c>
      <c r="BP23" s="3">
        <f t="shared" si="39"/>
        <v>-0.27245584371943132</v>
      </c>
      <c r="BQ23" s="3">
        <f t="shared" si="40"/>
        <v>-7.4744458159110572E-3</v>
      </c>
      <c r="BR23" s="3">
        <f t="shared" si="41"/>
        <v>-0.25742045312554312</v>
      </c>
      <c r="BS23" s="3">
        <f t="shared" si="44"/>
        <v>-0.25742045312554312</v>
      </c>
      <c r="BT23" s="4">
        <f t="shared" si="43"/>
        <v>0.31634224277291406</v>
      </c>
      <c r="BV23" t="s">
        <v>2</v>
      </c>
      <c r="BW23" s="2">
        <f t="shared" si="14"/>
        <v>0.47616319866195944</v>
      </c>
      <c r="CB23" s="9">
        <v>1.5</v>
      </c>
      <c r="CC23" s="7">
        <v>0.47616319866195944</v>
      </c>
      <c r="CD23" s="3">
        <v>0.45709622695673119</v>
      </c>
      <c r="CE23" s="3">
        <v>-0.25742045312554312</v>
      </c>
      <c r="CF23" s="3">
        <v>-0.27245584371943132</v>
      </c>
      <c r="CG23" s="3">
        <v>-7.4744458159110572E-3</v>
      </c>
      <c r="CH23" s="3">
        <v>-0.25742045312554312</v>
      </c>
      <c r="CI23" s="3">
        <v>-0.25742045312554312</v>
      </c>
      <c r="CJ23" s="4">
        <v>0.31634224277291406</v>
      </c>
    </row>
    <row r="24" spans="1:88" x14ac:dyDescent="0.3">
      <c r="A24">
        <v>2</v>
      </c>
      <c r="B24">
        <v>1.8527183604403601</v>
      </c>
      <c r="C24">
        <v>1.8455742006899301</v>
      </c>
      <c r="D24">
        <v>2.3093968895165902</v>
      </c>
      <c r="E24">
        <v>2.3087186658186001</v>
      </c>
      <c r="F24">
        <v>2.1319324406311901</v>
      </c>
      <c r="G24">
        <v>2.36512353273719</v>
      </c>
      <c r="H24">
        <v>2.3583160626768702</v>
      </c>
      <c r="I24">
        <v>2.0172502119046798</v>
      </c>
      <c r="J24">
        <v>2</v>
      </c>
      <c r="K24">
        <v>9.6224459141132392</v>
      </c>
      <c r="L24">
        <v>9.8217380686890792</v>
      </c>
      <c r="M24">
        <v>14.2426885365534</v>
      </c>
      <c r="N24">
        <v>14.2365313095631</v>
      </c>
      <c r="O24">
        <v>11.6035785292811</v>
      </c>
      <c r="P24">
        <v>14.9449993615309</v>
      </c>
      <c r="Q24">
        <v>14.7456879300026</v>
      </c>
      <c r="R24">
        <v>10.7511551191816</v>
      </c>
      <c r="S24">
        <v>2</v>
      </c>
      <c r="T24">
        <v>0.91645699741274</v>
      </c>
      <c r="U24">
        <v>0.90597321580763202</v>
      </c>
      <c r="V24">
        <v>0.87763295794672702</v>
      </c>
      <c r="W24">
        <v>0.87741246584106902</v>
      </c>
      <c r="X24">
        <v>0.86882220164963497</v>
      </c>
      <c r="Y24">
        <v>0.87463021310985301</v>
      </c>
      <c r="Z24">
        <v>0.87705683279876701</v>
      </c>
      <c r="AA24">
        <v>0.86820173962722003</v>
      </c>
      <c r="AB24">
        <v>2</v>
      </c>
      <c r="AC24">
        <v>0.17928474660105601</v>
      </c>
      <c r="AD24">
        <v>0.108751271053166</v>
      </c>
      <c r="AE24">
        <v>-1.7558003898533301</v>
      </c>
      <c r="AF24">
        <v>-1.7410841859847299</v>
      </c>
      <c r="AG24">
        <v>-2.2525352426394298</v>
      </c>
      <c r="AH24">
        <v>-1.78901554407362</v>
      </c>
      <c r="AI24">
        <v>-1.7120397124259401</v>
      </c>
      <c r="AJ24">
        <v>-0.91518786875189595</v>
      </c>
      <c r="AO24">
        <v>2</v>
      </c>
      <c r="AP24">
        <f t="shared" si="4"/>
        <v>0.16811806686673181</v>
      </c>
      <c r="AQ24">
        <f t="shared" si="25"/>
        <v>0.17132583851227645</v>
      </c>
      <c r="AR24">
        <f t="shared" si="26"/>
        <v>-3.693340004812895E-2</v>
      </c>
      <c r="AS24">
        <f t="shared" si="27"/>
        <v>-3.6628873438457665E-2</v>
      </c>
      <c r="AT24">
        <f t="shared" si="28"/>
        <v>4.274922843628215E-2</v>
      </c>
      <c r="AU24">
        <f t="shared" si="29"/>
        <v>-6.1955005424977561E-2</v>
      </c>
      <c r="AV24">
        <f t="shared" si="30"/>
        <v>-5.8898409520039552E-2</v>
      </c>
      <c r="AW24">
        <f t="shared" si="16"/>
        <v>9.4242254125500025E-2</v>
      </c>
      <c r="AY24">
        <v>2</v>
      </c>
      <c r="AZ24">
        <f t="shared" si="6"/>
        <v>0.1182026615709012</v>
      </c>
      <c r="BA24">
        <f t="shared" si="31"/>
        <v>9.993960319225903E-2</v>
      </c>
      <c r="BB24">
        <f t="shared" si="32"/>
        <v>-0.30519464133198193</v>
      </c>
      <c r="BC24">
        <f t="shared" si="33"/>
        <v>-0.30463039535745406</v>
      </c>
      <c r="BD24">
        <f t="shared" si="34"/>
        <v>-6.3347589033037055E-2</v>
      </c>
      <c r="BE24">
        <f t="shared" si="35"/>
        <v>-0.36955414220553684</v>
      </c>
      <c r="BF24">
        <f t="shared" si="36"/>
        <v>-0.35128931729419333</v>
      </c>
      <c r="BG24">
        <f t="shared" si="18"/>
        <v>1.4768172899999987E-2</v>
      </c>
      <c r="BL24" s="9">
        <v>2</v>
      </c>
      <c r="BM24" s="7">
        <f t="shared" si="22"/>
        <v>0.34551561811285725</v>
      </c>
      <c r="BN24" s="3">
        <f t="shared" si="37"/>
        <v>0.32149748214133334</v>
      </c>
      <c r="BO24" s="3">
        <f t="shared" si="38"/>
        <v>-0.30507386832167849</v>
      </c>
      <c r="BP24" s="3">
        <f t="shared" si="39"/>
        <v>-0.30123274723489313</v>
      </c>
      <c r="BQ24" s="3">
        <f t="shared" si="40"/>
        <v>-0.35107785039663741</v>
      </c>
      <c r="BR24" s="3">
        <f t="shared" si="41"/>
        <v>-0.33647361964857037</v>
      </c>
      <c r="BS24" s="3">
        <f t="shared" si="44"/>
        <v>-0.31129265161035147</v>
      </c>
      <c r="BT24" s="4">
        <f t="shared" si="43"/>
        <v>1.5506074475206022E-2</v>
      </c>
      <c r="BV24" t="s">
        <v>2</v>
      </c>
      <c r="BW24" s="2">
        <f t="shared" si="14"/>
        <v>0.34551561811285725</v>
      </c>
      <c r="CB24" s="9">
        <v>2</v>
      </c>
      <c r="CC24" s="7">
        <v>0.34551561811285725</v>
      </c>
      <c r="CD24" s="3">
        <v>0.32149748214133334</v>
      </c>
      <c r="CE24" s="3">
        <v>-0.30507386832167849</v>
      </c>
      <c r="CF24" s="3">
        <v>-0.30123274723489313</v>
      </c>
      <c r="CG24" s="3">
        <v>-0.35107785039663741</v>
      </c>
      <c r="CH24" s="3">
        <v>-0.33647361964857037</v>
      </c>
      <c r="CI24" s="3">
        <v>-0.31129265161035147</v>
      </c>
      <c r="CJ24" s="4">
        <v>1.5506074475206022E-2</v>
      </c>
    </row>
    <row r="25" spans="1:88" ht="15" thickBot="1" x14ac:dyDescent="0.35">
      <c r="A25">
        <v>2.5</v>
      </c>
      <c r="B25">
        <v>2.1144908211620801</v>
      </c>
      <c r="C25">
        <v>2.2013919826882899</v>
      </c>
      <c r="D25">
        <v>2.6613349463498199</v>
      </c>
      <c r="E25">
        <v>2.6749886452496598</v>
      </c>
      <c r="F25">
        <v>2.53844252340396</v>
      </c>
      <c r="G25">
        <v>2.6613349463498199</v>
      </c>
      <c r="H25">
        <v>2.6613349463498199</v>
      </c>
      <c r="I25">
        <v>2.3949445700562899</v>
      </c>
      <c r="J25">
        <v>2.5</v>
      </c>
      <c r="K25">
        <v>11.6576190391006</v>
      </c>
      <c r="L25">
        <v>12.365437012635599</v>
      </c>
      <c r="M25">
        <v>20.446530533387701</v>
      </c>
      <c r="N25">
        <v>20.720128385580701</v>
      </c>
      <c r="O25">
        <v>16.303441354602199</v>
      </c>
      <c r="P25">
        <v>20.446530533387701</v>
      </c>
      <c r="Q25">
        <v>20.446530533387701</v>
      </c>
      <c r="R25">
        <v>15.5422711190468</v>
      </c>
      <c r="S25">
        <v>2.5</v>
      </c>
      <c r="T25">
        <v>0.915806882548999</v>
      </c>
      <c r="U25">
        <v>0.90640261133220001</v>
      </c>
      <c r="V25">
        <v>0.86592785032071795</v>
      </c>
      <c r="W25">
        <v>0.86467154269217505</v>
      </c>
      <c r="X25">
        <v>0.86133196246063604</v>
      </c>
      <c r="Y25">
        <v>0.86592785032071795</v>
      </c>
      <c r="Z25">
        <v>0.86592785032071795</v>
      </c>
      <c r="AA25">
        <v>0.85838407037648701</v>
      </c>
      <c r="AB25">
        <v>2.5</v>
      </c>
      <c r="AC25">
        <v>0.21739260670579999</v>
      </c>
      <c r="AD25">
        <v>0.12560928400159199</v>
      </c>
      <c r="AE25">
        <v>-1.5653993372510999</v>
      </c>
      <c r="AF25">
        <v>-1.66203785795182</v>
      </c>
      <c r="AG25">
        <v>-2.3672469256370001</v>
      </c>
      <c r="AH25">
        <v>-1.5653993372510999</v>
      </c>
      <c r="AI25">
        <v>-1.5653993372510999</v>
      </c>
      <c r="AJ25">
        <v>-0.989192286393205</v>
      </c>
      <c r="AO25">
        <v>2.5</v>
      </c>
      <c r="AP25">
        <f t="shared" si="4"/>
        <v>5.0580622797532726E-2</v>
      </c>
      <c r="AQ25">
        <f t="shared" si="25"/>
        <v>1.1561467061003361E-2</v>
      </c>
      <c r="AR25">
        <f t="shared" si="26"/>
        <v>-0.19495575105025686</v>
      </c>
      <c r="AS25">
        <f t="shared" si="27"/>
        <v>-0.20108634579025741</v>
      </c>
      <c r="AT25">
        <f t="shared" si="28"/>
        <v>-0.13977629768566957</v>
      </c>
      <c r="AU25">
        <f t="shared" si="29"/>
        <v>-0.19495575105025686</v>
      </c>
      <c r="AV25">
        <f t="shared" si="30"/>
        <v>-0.19495575105025686</v>
      </c>
      <c r="AW25">
        <f t="shared" si="16"/>
        <v>-7.534483450140339E-2</v>
      </c>
      <c r="AY25">
        <v>2.5</v>
      </c>
      <c r="AZ25">
        <f t="shared" si="6"/>
        <v>-6.829984110610865E-2</v>
      </c>
      <c r="BA25">
        <f t="shared" si="31"/>
        <v>-0.13316401501016739</v>
      </c>
      <c r="BB25">
        <f t="shared" si="32"/>
        <v>-0.87371239759388275</v>
      </c>
      <c r="BC25">
        <f t="shared" si="33"/>
        <v>-0.89878480226282997</v>
      </c>
      <c r="BD25">
        <f t="shared" si="34"/>
        <v>-0.49404125749746841</v>
      </c>
      <c r="BE25">
        <f t="shared" si="35"/>
        <v>-0.87371239759388275</v>
      </c>
      <c r="BF25">
        <f t="shared" si="36"/>
        <v>-0.87371239759388275</v>
      </c>
      <c r="BG25">
        <f t="shared" si="18"/>
        <v>-0.42428790229078905</v>
      </c>
      <c r="BL25" s="10">
        <v>2.5</v>
      </c>
      <c r="BM25" s="8">
        <f t="shared" si="22"/>
        <v>0.27887006773655576</v>
      </c>
      <c r="BN25" s="5">
        <f t="shared" si="37"/>
        <v>0.22760233684615699</v>
      </c>
      <c r="BO25" s="5">
        <f t="shared" si="38"/>
        <v>-0.4420349088936304</v>
      </c>
      <c r="BP25" s="5">
        <f t="shared" si="39"/>
        <v>-0.47430936582818306</v>
      </c>
      <c r="BQ25" s="5">
        <f t="shared" si="40"/>
        <v>-0.53493312958987549</v>
      </c>
      <c r="BR25" s="5">
        <f t="shared" si="41"/>
        <v>-0.4420349088936304</v>
      </c>
      <c r="BS25" s="5">
        <f t="shared" si="44"/>
        <v>-0.4420349088936304</v>
      </c>
      <c r="BT25" s="6">
        <f t="shared" si="43"/>
        <v>-0.15761023820222761</v>
      </c>
      <c r="BV25" t="s">
        <v>2</v>
      </c>
      <c r="BW25" s="2">
        <f t="shared" si="14"/>
        <v>0.27887006773655576</v>
      </c>
      <c r="CB25" s="10">
        <v>2.5</v>
      </c>
      <c r="CC25" s="8">
        <v>0.27887006773655576</v>
      </c>
      <c r="CD25" s="5">
        <v>0.22760233684615699</v>
      </c>
      <c r="CE25" s="5">
        <v>-0.4420349088936304</v>
      </c>
      <c r="CF25" s="5">
        <v>-0.47430936582818306</v>
      </c>
      <c r="CG25" s="5">
        <v>-0.53493312958987549</v>
      </c>
      <c r="CH25" s="5">
        <v>-0.4420349088936304</v>
      </c>
      <c r="CI25" s="5">
        <v>-0.4420349088936304</v>
      </c>
      <c r="CJ25" s="6">
        <v>-0.15761023820222761</v>
      </c>
    </row>
    <row r="26" spans="1:88" ht="15" thickBot="1" x14ac:dyDescent="0.35">
      <c r="A26" t="s">
        <v>11</v>
      </c>
      <c r="J26" t="s">
        <v>11</v>
      </c>
      <c r="S26" t="s">
        <v>11</v>
      </c>
      <c r="AB26" t="s">
        <v>11</v>
      </c>
      <c r="AO26" t="s">
        <v>11</v>
      </c>
      <c r="AY26" t="s">
        <v>11</v>
      </c>
      <c r="BL26" t="s">
        <v>11</v>
      </c>
      <c r="BW26" s="2"/>
      <c r="CB26" t="s">
        <v>11</v>
      </c>
    </row>
    <row r="27" spans="1:88" ht="15" thickBot="1" x14ac:dyDescent="0.35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J27" t="s">
        <v>1</v>
      </c>
      <c r="K27" t="s">
        <v>2</v>
      </c>
      <c r="L27" t="s">
        <v>3</v>
      </c>
      <c r="M27" t="s">
        <v>4</v>
      </c>
      <c r="N27" t="s">
        <v>5</v>
      </c>
      <c r="O27" t="s">
        <v>6</v>
      </c>
      <c r="P27" t="s">
        <v>7</v>
      </c>
      <c r="Q27" t="s">
        <v>8</v>
      </c>
      <c r="S27" t="s">
        <v>1</v>
      </c>
      <c r="T27" t="s">
        <v>2</v>
      </c>
      <c r="U27" t="s">
        <v>3</v>
      </c>
      <c r="V27" t="s">
        <v>4</v>
      </c>
      <c r="W27" t="s">
        <v>5</v>
      </c>
      <c r="X27" t="s">
        <v>6</v>
      </c>
      <c r="Y27" t="s">
        <v>7</v>
      </c>
      <c r="Z27" t="s">
        <v>8</v>
      </c>
      <c r="AB27" t="s">
        <v>1</v>
      </c>
      <c r="AC27" t="s">
        <v>2</v>
      </c>
      <c r="AD27" t="s">
        <v>3</v>
      </c>
      <c r="AE27" t="s">
        <v>4</v>
      </c>
      <c r="AF27" t="s">
        <v>5</v>
      </c>
      <c r="AG27" t="s">
        <v>6</v>
      </c>
      <c r="AH27" t="s">
        <v>7</v>
      </c>
      <c r="AI27" t="s">
        <v>8</v>
      </c>
      <c r="AO27" t="s">
        <v>1</v>
      </c>
      <c r="AY27" t="s">
        <v>1</v>
      </c>
      <c r="BL27" s="15" t="s">
        <v>1</v>
      </c>
      <c r="BM27" s="16" t="s">
        <v>2</v>
      </c>
      <c r="BN27" s="17" t="s">
        <v>3</v>
      </c>
      <c r="BO27" s="17" t="s">
        <v>4</v>
      </c>
      <c r="BP27" s="17" t="s">
        <v>5</v>
      </c>
      <c r="BQ27" s="17" t="s">
        <v>6</v>
      </c>
      <c r="BR27" s="17" t="s">
        <v>7</v>
      </c>
      <c r="BS27" s="17" t="s">
        <v>8</v>
      </c>
      <c r="BT27" s="18" t="s">
        <v>23</v>
      </c>
      <c r="BW27" s="2"/>
      <c r="CB27" s="15" t="s">
        <v>1</v>
      </c>
      <c r="CC27" s="16" t="s">
        <v>2</v>
      </c>
      <c r="CD27" s="17" t="s">
        <v>3</v>
      </c>
      <c r="CE27" s="17" t="s">
        <v>4</v>
      </c>
      <c r="CF27" s="17" t="s">
        <v>5</v>
      </c>
      <c r="CG27" s="17" t="s">
        <v>6</v>
      </c>
      <c r="CH27" s="17" t="s">
        <v>7</v>
      </c>
      <c r="CI27" s="17" t="s">
        <v>8</v>
      </c>
      <c r="CJ27" s="18" t="s">
        <v>23</v>
      </c>
    </row>
    <row r="28" spans="1:88" x14ac:dyDescent="0.3">
      <c r="A28">
        <v>0.2</v>
      </c>
      <c r="B28">
        <v>0.145533092475787</v>
      </c>
      <c r="C28">
        <v>0.17088008341088601</v>
      </c>
      <c r="D28">
        <v>0.172186501782325</v>
      </c>
      <c r="E28">
        <v>0.172185646800149</v>
      </c>
      <c r="F28">
        <v>0.22711743679649701</v>
      </c>
      <c r="G28">
        <v>0.38734929479962099</v>
      </c>
      <c r="H28">
        <v>0.40001066427899201</v>
      </c>
      <c r="I28" s="19">
        <v>0.20759191294670801</v>
      </c>
      <c r="J28">
        <v>0.2</v>
      </c>
      <c r="K28">
        <v>0.116244558094648</v>
      </c>
      <c r="L28">
        <v>0.16246845341743499</v>
      </c>
      <c r="M28">
        <v>0.16186238078422399</v>
      </c>
      <c r="N28">
        <v>0.16184888186694199</v>
      </c>
      <c r="O28">
        <v>0.25271364402164997</v>
      </c>
      <c r="P28">
        <v>0.74716232604856903</v>
      </c>
      <c r="Q28">
        <v>0.83310143815576498</v>
      </c>
      <c r="R28">
        <v>0.225897247</v>
      </c>
      <c r="S28">
        <v>0.2</v>
      </c>
      <c r="T28">
        <v>0.99401100872021897</v>
      </c>
      <c r="U28">
        <v>0.99293850894425295</v>
      </c>
      <c r="V28">
        <v>0.99262764653362101</v>
      </c>
      <c r="W28">
        <v>0.99262668214677297</v>
      </c>
      <c r="X28">
        <v>0.99040519633428203</v>
      </c>
      <c r="Y28">
        <v>0.98417702328678902</v>
      </c>
      <c r="Z28">
        <v>0.98365776721817799</v>
      </c>
      <c r="AA28" s="21">
        <v>0.98226849999999999</v>
      </c>
      <c r="AB28">
        <v>0.2</v>
      </c>
      <c r="AC28">
        <v>0.92220016409883798</v>
      </c>
      <c r="AD28">
        <v>0.886739502292064</v>
      </c>
      <c r="AE28">
        <v>0.89353981633739499</v>
      </c>
      <c r="AF28">
        <v>0.89352826368390204</v>
      </c>
      <c r="AG28">
        <v>0.82956433466149704</v>
      </c>
      <c r="AH28">
        <v>0.54799132774760695</v>
      </c>
      <c r="AI28">
        <v>0.398354690745225</v>
      </c>
      <c r="AJ28" s="20">
        <v>0.83088976000000003</v>
      </c>
      <c r="AO28">
        <v>0.2</v>
      </c>
      <c r="AP28">
        <f t="shared" si="4"/>
        <v>0.93465474683651062</v>
      </c>
      <c r="AQ28">
        <f t="shared" si="25"/>
        <v>0.92327379208999971</v>
      </c>
      <c r="AR28">
        <f t="shared" si="26"/>
        <v>0.92268720221022149</v>
      </c>
      <c r="AS28">
        <f t="shared" si="27"/>
        <v>0.92268758610247448</v>
      </c>
      <c r="AT28">
        <f t="shared" si="28"/>
        <v>0.89802287470955044</v>
      </c>
      <c r="AU28">
        <f t="shared" si="29"/>
        <v>0.82607778546593102</v>
      </c>
      <c r="AV28">
        <f t="shared" si="30"/>
        <v>0.82039275273591028</v>
      </c>
      <c r="AW28">
        <f t="shared" si="16"/>
        <v>0.90678995494820125</v>
      </c>
      <c r="AY28">
        <v>0.2</v>
      </c>
      <c r="AZ28">
        <f t="shared" si="6"/>
        <v>0.98934739224832802</v>
      </c>
      <c r="BA28">
        <f t="shared" si="31"/>
        <v>0.9851114517991667</v>
      </c>
      <c r="BB28">
        <f t="shared" si="32"/>
        <v>0.98516699206820335</v>
      </c>
      <c r="BC28">
        <f t="shared" si="33"/>
        <v>0.98516822910392554</v>
      </c>
      <c r="BD28">
        <f t="shared" si="34"/>
        <v>0.97684141634340937</v>
      </c>
      <c r="BE28">
        <f t="shared" si="35"/>
        <v>0.93153032437233096</v>
      </c>
      <c r="BF28">
        <f t="shared" si="36"/>
        <v>0.92365489633672748</v>
      </c>
      <c r="BG28">
        <f t="shared" si="18"/>
        <v>0.97929886091945706</v>
      </c>
      <c r="BL28" s="11">
        <v>0.2</v>
      </c>
      <c r="BM28" s="12">
        <f t="shared" si="22"/>
        <v>0.96005332797597376</v>
      </c>
      <c r="BN28" s="13">
        <f t="shared" si="37"/>
        <v>0.94701581378137079</v>
      </c>
      <c r="BO28" s="13">
        <f t="shared" si="38"/>
        <v>0.94850541428736024</v>
      </c>
      <c r="BP28" s="13">
        <f t="shared" si="39"/>
        <v>0.94850269025926881</v>
      </c>
      <c r="BQ28" s="13">
        <f t="shared" si="40"/>
        <v>0.92370845551218472</v>
      </c>
      <c r="BR28" s="13">
        <f t="shared" si="41"/>
        <v>0.82244411521816441</v>
      </c>
      <c r="BS28" s="13">
        <f t="shared" si="42"/>
        <v>0.78151502675901019</v>
      </c>
      <c r="BT28" s="4">
        <f t="shared" ref="BT28:BT33" si="45">($BJ$3*AW28)+($BJ$4*BG28)+($BJ$5*AA28)+($BJ$6*AJ28)</f>
        <v>0.92481176896691464</v>
      </c>
      <c r="BV28" t="s">
        <v>2</v>
      </c>
      <c r="BW28" s="2">
        <f t="shared" si="14"/>
        <v>0.96005332797597376</v>
      </c>
      <c r="CB28" s="11">
        <v>0.2</v>
      </c>
      <c r="CC28" s="12">
        <v>0.96005332797597376</v>
      </c>
      <c r="CD28" s="13">
        <v>0.94701581378137079</v>
      </c>
      <c r="CE28" s="13">
        <v>0.94850541428736024</v>
      </c>
      <c r="CF28" s="13">
        <v>0.94850269025926881</v>
      </c>
      <c r="CG28" s="13">
        <v>0.92370845551218472</v>
      </c>
      <c r="CH28" s="13">
        <v>0.82244411521816441</v>
      </c>
      <c r="CI28" s="13">
        <v>0.78151502675901019</v>
      </c>
      <c r="CJ28" s="14" t="s">
        <v>24</v>
      </c>
    </row>
    <row r="29" spans="1:88" x14ac:dyDescent="0.3">
      <c r="A29">
        <v>0.5</v>
      </c>
      <c r="B29">
        <v>0.52592094292157399</v>
      </c>
      <c r="C29">
        <v>0.541202028785848</v>
      </c>
      <c r="D29">
        <v>0.757550179199729</v>
      </c>
      <c r="E29">
        <v>0.75777470153638704</v>
      </c>
      <c r="F29">
        <v>0.59475568208246699</v>
      </c>
      <c r="G29">
        <v>0.757550179199729</v>
      </c>
      <c r="H29">
        <v>0.757550179199729</v>
      </c>
      <c r="I29">
        <v>0.63254224435375805</v>
      </c>
      <c r="J29">
        <v>0.5</v>
      </c>
      <c r="K29">
        <v>1.1780812819040201</v>
      </c>
      <c r="L29">
        <v>1.19316008022689</v>
      </c>
      <c r="M29">
        <v>2.23637825598514</v>
      </c>
      <c r="N29">
        <v>2.2373151904440198</v>
      </c>
      <c r="O29">
        <v>1.28595549303962</v>
      </c>
      <c r="P29">
        <v>2.23637825598514</v>
      </c>
      <c r="Q29">
        <v>2.23637825598514</v>
      </c>
      <c r="R29">
        <v>1.5152618950811501</v>
      </c>
      <c r="S29">
        <v>0.5</v>
      </c>
      <c r="T29">
        <v>0.97774675135649802</v>
      </c>
      <c r="U29">
        <v>0.97530672521317296</v>
      </c>
      <c r="V29">
        <v>0.96717740763127003</v>
      </c>
      <c r="W29">
        <v>0.967166581799765</v>
      </c>
      <c r="X29">
        <v>0.97095197561380697</v>
      </c>
      <c r="Y29">
        <v>0.96717740763127003</v>
      </c>
      <c r="Z29">
        <v>0.96717740763127003</v>
      </c>
      <c r="AA29">
        <v>0.93198208582287201</v>
      </c>
      <c r="AB29">
        <v>0.5</v>
      </c>
      <c r="AC29">
        <v>0.17934248481432</v>
      </c>
      <c r="AD29">
        <v>0.105755595025013</v>
      </c>
      <c r="AE29">
        <v>-0.50022154897855997</v>
      </c>
      <c r="AF29">
        <v>-0.50121349211549104</v>
      </c>
      <c r="AG29">
        <v>7.1985962390784294E-2</v>
      </c>
      <c r="AH29">
        <v>-0.50022154897855997</v>
      </c>
      <c r="AI29">
        <v>-0.50022154897855997</v>
      </c>
      <c r="AJ29">
        <v>0.291882012834491</v>
      </c>
      <c r="AO29">
        <v>0.5</v>
      </c>
      <c r="AP29">
        <f t="shared" si="4"/>
        <v>0.76385826361170039</v>
      </c>
      <c r="AQ29">
        <f t="shared" si="25"/>
        <v>0.75699696212056267</v>
      </c>
      <c r="AR29">
        <f t="shared" si="26"/>
        <v>0.6598553126184068</v>
      </c>
      <c r="AS29">
        <f t="shared" si="27"/>
        <v>0.65975450070903141</v>
      </c>
      <c r="AT29">
        <f t="shared" si="28"/>
        <v>0.73295104257769628</v>
      </c>
      <c r="AU29">
        <f t="shared" si="29"/>
        <v>0.6598553126184068</v>
      </c>
      <c r="AV29">
        <f t="shared" si="30"/>
        <v>0.6598553126184068</v>
      </c>
      <c r="AW29">
        <f t="shared" si="16"/>
        <v>0.71598464383092131</v>
      </c>
      <c r="AY29">
        <v>0.5</v>
      </c>
      <c r="AZ29">
        <f t="shared" si="6"/>
        <v>0.89204107270559396</v>
      </c>
      <c r="BA29">
        <f t="shared" si="31"/>
        <v>0.89065925727670037</v>
      </c>
      <c r="BB29">
        <f t="shared" si="32"/>
        <v>0.79505913450175625</v>
      </c>
      <c r="BC29">
        <f t="shared" si="33"/>
        <v>0.7949732741789759</v>
      </c>
      <c r="BD29">
        <f t="shared" si="34"/>
        <v>0.88215552041321954</v>
      </c>
      <c r="BE29">
        <f t="shared" si="35"/>
        <v>0.79505913450175625</v>
      </c>
      <c r="BF29">
        <f t="shared" si="36"/>
        <v>0.79505913450175625</v>
      </c>
      <c r="BG29">
        <f t="shared" si="18"/>
        <v>0.86114196764194295</v>
      </c>
      <c r="BL29" s="9">
        <v>0.5</v>
      </c>
      <c r="BM29" s="7">
        <f t="shared" si="22"/>
        <v>0.70324714312202807</v>
      </c>
      <c r="BN29" s="3">
        <f t="shared" si="37"/>
        <v>0.68217963490886224</v>
      </c>
      <c r="BO29" s="3">
        <f t="shared" si="38"/>
        <v>0.4804675764432183</v>
      </c>
      <c r="BP29" s="3">
        <f t="shared" si="39"/>
        <v>0.48017021614307032</v>
      </c>
      <c r="BQ29" s="3">
        <f t="shared" si="40"/>
        <v>0.66451112524887679</v>
      </c>
      <c r="BR29" s="3">
        <f t="shared" si="41"/>
        <v>0.4804675764432183</v>
      </c>
      <c r="BS29" s="3">
        <f t="shared" ref="BS29:BS33" si="46">($BJ$3*AV29)+($BJ$4*BF29)+($BJ$5*Z29)+($BJ$6*AI29)</f>
        <v>0.4804675764432183</v>
      </c>
      <c r="BT29" s="4">
        <f t="shared" si="45"/>
        <v>0.70024767753255679</v>
      </c>
      <c r="BV29" t="s">
        <v>2</v>
      </c>
      <c r="BW29" s="2">
        <f t="shared" si="14"/>
        <v>0.70324714312202807</v>
      </c>
      <c r="CB29" s="9">
        <v>0.5</v>
      </c>
      <c r="CC29" s="7">
        <v>0.70324714312202807</v>
      </c>
      <c r="CD29" s="3">
        <v>0.68217963490886224</v>
      </c>
      <c r="CE29" s="3">
        <v>0.4804675764432183</v>
      </c>
      <c r="CF29" s="3">
        <v>0.48017021614307032</v>
      </c>
      <c r="CG29" s="3">
        <v>0.66451112524887679</v>
      </c>
      <c r="CH29" s="3">
        <v>0.4804675764432183</v>
      </c>
      <c r="CI29" s="3">
        <v>0.4804675764432183</v>
      </c>
      <c r="CJ29" s="4">
        <v>0.70024767753255679</v>
      </c>
    </row>
    <row r="30" spans="1:88" x14ac:dyDescent="0.3">
      <c r="A30">
        <v>1</v>
      </c>
      <c r="B30">
        <v>0.90221583865626198</v>
      </c>
      <c r="C30">
        <v>0.892038556727756</v>
      </c>
      <c r="D30">
        <v>1.1385147825616799</v>
      </c>
      <c r="E30">
        <v>1.13919140797568</v>
      </c>
      <c r="F30">
        <v>0.955335240107824</v>
      </c>
      <c r="G30">
        <v>1.2311954866846899</v>
      </c>
      <c r="H30">
        <v>1.22933907356587</v>
      </c>
      <c r="I30">
        <v>0.98608415694215101</v>
      </c>
      <c r="J30">
        <v>1</v>
      </c>
      <c r="K30">
        <v>3.06380916912109</v>
      </c>
      <c r="L30">
        <v>2.86824531422607</v>
      </c>
      <c r="M30">
        <v>4.6555487866846601</v>
      </c>
      <c r="N30">
        <v>4.6578920565393602</v>
      </c>
      <c r="O30">
        <v>2.9781714032413502</v>
      </c>
      <c r="P30">
        <v>5.4260694024332796</v>
      </c>
      <c r="Q30">
        <v>5.4964942659715597</v>
      </c>
      <c r="R30">
        <v>3.1293017625619099</v>
      </c>
      <c r="S30">
        <v>1</v>
      </c>
      <c r="T30">
        <v>0.95845642620530302</v>
      </c>
      <c r="U30">
        <v>0.95621302934504704</v>
      </c>
      <c r="V30">
        <v>0.946859805880371</v>
      </c>
      <c r="W30">
        <v>0.94684009739776998</v>
      </c>
      <c r="X30">
        <v>0.94982463785816196</v>
      </c>
      <c r="Y30">
        <v>0.94261829553903398</v>
      </c>
      <c r="Z30">
        <v>0.94172630727168005</v>
      </c>
      <c r="AA30">
        <v>0.90479480483473995</v>
      </c>
      <c r="AB30">
        <v>1</v>
      </c>
      <c r="AC30">
        <v>-1.29748552990314</v>
      </c>
      <c r="AD30">
        <v>-1.42168731120153</v>
      </c>
      <c r="AE30">
        <v>-2.0903646928354198</v>
      </c>
      <c r="AF30">
        <v>-2.0935336991551199</v>
      </c>
      <c r="AG30">
        <v>-1.4082864266697701</v>
      </c>
      <c r="AH30">
        <v>-2.3874448261237098</v>
      </c>
      <c r="AI30">
        <v>-2.66359883622594</v>
      </c>
      <c r="AJ30">
        <v>-0.33319032836983298</v>
      </c>
      <c r="AO30">
        <v>1</v>
      </c>
      <c r="AP30">
        <f t="shared" si="4"/>
        <v>0.59489954221297081</v>
      </c>
      <c r="AQ30">
        <f t="shared" si="25"/>
        <v>0.59946920436211448</v>
      </c>
      <c r="AR30">
        <f t="shared" si="26"/>
        <v>0.48879986378874085</v>
      </c>
      <c r="AS30">
        <f t="shared" si="27"/>
        <v>0.48849605481840619</v>
      </c>
      <c r="AT30">
        <f t="shared" si="28"/>
        <v>0.57104860441803007</v>
      </c>
      <c r="AU30">
        <f t="shared" si="29"/>
        <v>0.44718565789741649</v>
      </c>
      <c r="AV30">
        <f t="shared" si="30"/>
        <v>0.44801919879977514</v>
      </c>
      <c r="AW30">
        <f t="shared" si="16"/>
        <v>0.55724215173527358</v>
      </c>
      <c r="AY30">
        <v>1</v>
      </c>
      <c r="AZ30">
        <f t="shared" si="6"/>
        <v>0.71923367562678386</v>
      </c>
      <c r="BA30">
        <f t="shared" si="31"/>
        <v>0.7371550740195183</v>
      </c>
      <c r="BB30">
        <f t="shared" si="32"/>
        <v>0.57336725343353878</v>
      </c>
      <c r="BC30">
        <f t="shared" si="33"/>
        <v>0.57315251706198223</v>
      </c>
      <c r="BD30">
        <f t="shared" si="34"/>
        <v>0.72708148840700548</v>
      </c>
      <c r="BE30">
        <f t="shared" si="35"/>
        <v>0.50275703288916096</v>
      </c>
      <c r="BF30">
        <f t="shared" si="36"/>
        <v>0.49630332477985328</v>
      </c>
      <c r="BG30">
        <f t="shared" si="18"/>
        <v>0.71323195890128577</v>
      </c>
      <c r="BL30" s="9">
        <v>1</v>
      </c>
      <c r="BM30" s="7">
        <f t="shared" si="22"/>
        <v>0.24377602853547942</v>
      </c>
      <c r="BN30" s="3">
        <f t="shared" si="37"/>
        <v>0.21778749913128753</v>
      </c>
      <c r="BO30" s="3">
        <f t="shared" si="38"/>
        <v>-2.0334442433192268E-2</v>
      </c>
      <c r="BP30" s="3">
        <f t="shared" si="39"/>
        <v>-2.1261257469240458E-2</v>
      </c>
      <c r="BQ30" s="3">
        <f t="shared" si="40"/>
        <v>0.20991707600335685</v>
      </c>
      <c r="BR30" s="3">
        <f t="shared" si="41"/>
        <v>-0.12372095994952459</v>
      </c>
      <c r="BS30" s="3">
        <f t="shared" si="46"/>
        <v>-0.1943875013436579</v>
      </c>
      <c r="BT30" s="4">
        <f t="shared" si="45"/>
        <v>0.46051964677536655</v>
      </c>
      <c r="BV30" t="s">
        <v>2</v>
      </c>
      <c r="BW30" s="2">
        <f t="shared" si="14"/>
        <v>0.24377602853547942</v>
      </c>
      <c r="CB30" s="9">
        <v>1</v>
      </c>
      <c r="CC30" s="7">
        <v>0.24377602853547942</v>
      </c>
      <c r="CD30" s="3">
        <v>0.21778749913128753</v>
      </c>
      <c r="CE30" s="3">
        <v>-2.0334442433192268E-2</v>
      </c>
      <c r="CF30" s="3">
        <v>-2.1261257469240458E-2</v>
      </c>
      <c r="CG30" s="3">
        <v>0.20991707600335685</v>
      </c>
      <c r="CH30" s="3">
        <v>-0.12372095994952459</v>
      </c>
      <c r="CI30" s="3">
        <v>-0.1943875013436579</v>
      </c>
      <c r="CJ30" s="4">
        <v>0.46051964677536655</v>
      </c>
    </row>
    <row r="31" spans="1:88" x14ac:dyDescent="0.3">
      <c r="A31">
        <v>1.5</v>
      </c>
      <c r="B31">
        <v>1.1690341269748701</v>
      </c>
      <c r="C31">
        <v>1.1223212937386</v>
      </c>
      <c r="D31">
        <v>1.5698436364443999</v>
      </c>
      <c r="E31">
        <v>1.5713814094698</v>
      </c>
      <c r="F31">
        <v>1.2956933972106901</v>
      </c>
      <c r="G31">
        <v>1.5698436364443999</v>
      </c>
      <c r="H31">
        <v>1.5698436364443999</v>
      </c>
      <c r="I31">
        <v>1.33794184813557</v>
      </c>
      <c r="J31">
        <v>1.5</v>
      </c>
      <c r="K31">
        <v>4.7195630093552099</v>
      </c>
      <c r="L31">
        <v>4.2879552641590397</v>
      </c>
      <c r="M31">
        <v>8.3713510516193104</v>
      </c>
      <c r="N31">
        <v>8.3746382512297597</v>
      </c>
      <c r="O31">
        <v>5.9421961068902203</v>
      </c>
      <c r="P31">
        <v>8.3713510516193104</v>
      </c>
      <c r="Q31">
        <v>8.3713510516193104</v>
      </c>
      <c r="R31">
        <v>6.0823333912339201</v>
      </c>
      <c r="S31">
        <v>1.5</v>
      </c>
      <c r="T31">
        <v>0.94362959031093396</v>
      </c>
      <c r="U31">
        <v>0.94182089328829999</v>
      </c>
      <c r="V31">
        <v>0.92356811987564302</v>
      </c>
      <c r="W31">
        <v>0.92355300949712804</v>
      </c>
      <c r="X31">
        <v>0.93283811914328596</v>
      </c>
      <c r="Y31">
        <v>0.92356811987564302</v>
      </c>
      <c r="Z31">
        <v>0.92356811987564302</v>
      </c>
      <c r="AA31">
        <v>0.88742797707236498</v>
      </c>
      <c r="AB31">
        <v>1.5</v>
      </c>
      <c r="AC31">
        <v>-2.7410018439889701</v>
      </c>
      <c r="AD31">
        <v>-2.6373016206669302</v>
      </c>
      <c r="AE31">
        <v>-4.0746360034845397</v>
      </c>
      <c r="AF31">
        <v>-4.0642832440216203</v>
      </c>
      <c r="AG31">
        <v>-2.5548129773203399</v>
      </c>
      <c r="AH31">
        <v>-4.0746360034845397</v>
      </c>
      <c r="AI31">
        <v>-4.0746360034845397</v>
      </c>
      <c r="AJ31">
        <v>-1.70747022874677</v>
      </c>
      <c r="AO31">
        <v>1.5</v>
      </c>
      <c r="AP31">
        <f t="shared" si="4"/>
        <v>0.47509649053433523</v>
      </c>
      <c r="AQ31">
        <f t="shared" si="25"/>
        <v>0.49607083981723654</v>
      </c>
      <c r="AR31">
        <f t="shared" si="26"/>
        <v>0.29513055686891854</v>
      </c>
      <c r="AS31">
        <f t="shared" si="27"/>
        <v>0.29444008732729543</v>
      </c>
      <c r="AT31">
        <f t="shared" si="28"/>
        <v>0.41822569958045308</v>
      </c>
      <c r="AU31">
        <f t="shared" si="29"/>
        <v>0.29513055686891854</v>
      </c>
      <c r="AV31">
        <f t="shared" si="30"/>
        <v>0.29513055686891854</v>
      </c>
      <c r="AW31">
        <f t="shared" si="16"/>
        <v>0.39925588539945611</v>
      </c>
      <c r="AY31">
        <v>1.5</v>
      </c>
      <c r="AZ31">
        <f t="shared" si="6"/>
        <v>0.56750101405154263</v>
      </c>
      <c r="BA31">
        <f t="shared" si="31"/>
        <v>0.60705338611540172</v>
      </c>
      <c r="BB31">
        <f t="shared" si="32"/>
        <v>0.2328525260353389</v>
      </c>
      <c r="BC31">
        <f t="shared" si="33"/>
        <v>0.23255128829461769</v>
      </c>
      <c r="BD31">
        <f t="shared" si="34"/>
        <v>0.45545937506447121</v>
      </c>
      <c r="BE31">
        <f t="shared" si="35"/>
        <v>0.2328525260353389</v>
      </c>
      <c r="BF31">
        <f t="shared" si="36"/>
        <v>0.2328525260353389</v>
      </c>
      <c r="BG31">
        <f t="shared" si="18"/>
        <v>0.44261724683097159</v>
      </c>
      <c r="BL31" s="9">
        <v>1.5</v>
      </c>
      <c r="BM31" s="7">
        <f t="shared" si="22"/>
        <v>-0.18869368727303959</v>
      </c>
      <c r="BN31" s="3">
        <f t="shared" si="37"/>
        <v>-0.14808912536149799</v>
      </c>
      <c r="BO31" s="3">
        <f t="shared" si="38"/>
        <v>-0.65577120017615975</v>
      </c>
      <c r="BP31" s="3">
        <f t="shared" si="39"/>
        <v>-0.65343471472564474</v>
      </c>
      <c r="BQ31" s="3">
        <f t="shared" si="40"/>
        <v>-0.1870724458830324</v>
      </c>
      <c r="BR31" s="3">
        <f t="shared" si="41"/>
        <v>-0.65577120017615975</v>
      </c>
      <c r="BS31" s="3">
        <f t="shared" si="46"/>
        <v>-0.65577120017615975</v>
      </c>
      <c r="BT31" s="4">
        <f t="shared" si="45"/>
        <v>5.4577201390056396E-3</v>
      </c>
      <c r="BV31" t="s">
        <v>3</v>
      </c>
      <c r="BW31" s="2">
        <f t="shared" si="14"/>
        <v>-0.14808912536149799</v>
      </c>
      <c r="CB31" s="9">
        <v>1.5</v>
      </c>
      <c r="CC31" s="7">
        <v>-0.18869368727303959</v>
      </c>
      <c r="CD31" s="3">
        <v>-0.14808912536149799</v>
      </c>
      <c r="CE31" s="3">
        <v>-0.65577120017615975</v>
      </c>
      <c r="CF31" s="3">
        <v>-0.65343471472564474</v>
      </c>
      <c r="CG31" s="3">
        <v>-0.1870724458830324</v>
      </c>
      <c r="CH31" s="3">
        <v>-0.65577120017615975</v>
      </c>
      <c r="CI31" s="3">
        <v>-0.65577120017615975</v>
      </c>
      <c r="CJ31" s="4">
        <v>5.4577201390056396E-3</v>
      </c>
    </row>
    <row r="32" spans="1:88" x14ac:dyDescent="0.3">
      <c r="A32">
        <v>2</v>
      </c>
      <c r="B32">
        <v>1.31699219904047</v>
      </c>
      <c r="C32">
        <v>1.27064557239513</v>
      </c>
      <c r="D32">
        <v>1.76764271886569</v>
      </c>
      <c r="E32">
        <v>1.7678501389030501</v>
      </c>
      <c r="F32">
        <v>1.4092042678268999</v>
      </c>
      <c r="G32">
        <v>1.8264689383936299</v>
      </c>
      <c r="H32">
        <v>1.8299070472940799</v>
      </c>
      <c r="I32">
        <v>1.57449551235164</v>
      </c>
      <c r="J32">
        <v>2</v>
      </c>
      <c r="K32">
        <v>6.5039733848362102</v>
      </c>
      <c r="L32">
        <v>6.0401805132241897</v>
      </c>
      <c r="M32">
        <v>9.9749820990320792</v>
      </c>
      <c r="N32">
        <v>9.9661854853455996</v>
      </c>
      <c r="O32">
        <v>6.0775783959944798</v>
      </c>
      <c r="P32">
        <v>10.586121803837599</v>
      </c>
      <c r="Q32">
        <v>10.668048032826</v>
      </c>
      <c r="R32">
        <v>7.5071678231830798</v>
      </c>
      <c r="S32">
        <v>2</v>
      </c>
      <c r="T32">
        <v>0.93405513798335005</v>
      </c>
      <c r="U32">
        <v>0.93289178267109296</v>
      </c>
      <c r="V32">
        <v>0.90748503769739697</v>
      </c>
      <c r="W32">
        <v>0.90755647345898605</v>
      </c>
      <c r="X32">
        <v>0.92393061543061095</v>
      </c>
      <c r="Y32">
        <v>0.90417258081167995</v>
      </c>
      <c r="Z32">
        <v>0.90333640640141499</v>
      </c>
      <c r="AA32">
        <v>0.88975174901093401</v>
      </c>
      <c r="AB32">
        <v>2</v>
      </c>
      <c r="AC32">
        <v>-3.9850646298027299</v>
      </c>
      <c r="AD32">
        <v>-4.2640205588633</v>
      </c>
      <c r="AE32">
        <v>-4.1588619698759999</v>
      </c>
      <c r="AF32">
        <v>-4.1298361016810903</v>
      </c>
      <c r="AG32">
        <v>-3.2752488796041099</v>
      </c>
      <c r="AH32">
        <v>-4.2863624560365601</v>
      </c>
      <c r="AI32">
        <v>-4.47830068228338</v>
      </c>
      <c r="AJ32">
        <v>-3.7311986772374701</v>
      </c>
      <c r="AO32">
        <v>2</v>
      </c>
      <c r="AP32">
        <f t="shared" si="4"/>
        <v>0.40866240662783815</v>
      </c>
      <c r="AQ32">
        <f t="shared" si="25"/>
        <v>0.4294723269002142</v>
      </c>
      <c r="AR32">
        <f t="shared" si="26"/>
        <v>0.20631755292292231</v>
      </c>
      <c r="AS32">
        <f t="shared" si="27"/>
        <v>0.20622442005106545</v>
      </c>
      <c r="AT32">
        <f t="shared" si="28"/>
        <v>0.36725862088350048</v>
      </c>
      <c r="AU32">
        <f t="shared" si="29"/>
        <v>0.1799042187299188</v>
      </c>
      <c r="AV32">
        <f t="shared" si="30"/>
        <v>0.17836048669838156</v>
      </c>
      <c r="AW32">
        <f t="shared" si="16"/>
        <v>0.2930418359898902</v>
      </c>
      <c r="AY32">
        <v>2</v>
      </c>
      <c r="AZ32">
        <f t="shared" si="6"/>
        <v>0.40397831578866339</v>
      </c>
      <c r="BA32">
        <f t="shared" si="31"/>
        <v>0.4464801207788095</v>
      </c>
      <c r="BB32">
        <f t="shared" si="32"/>
        <v>8.5896377665949819E-2</v>
      </c>
      <c r="BC32">
        <f t="shared" si="33"/>
        <v>8.6702496048444377E-2</v>
      </c>
      <c r="BD32">
        <f t="shared" si="34"/>
        <v>0.44305299281321009</v>
      </c>
      <c r="BE32">
        <f t="shared" si="35"/>
        <v>2.9891764086834027E-2</v>
      </c>
      <c r="BF32">
        <f t="shared" si="36"/>
        <v>2.2384075156772432E-2</v>
      </c>
      <c r="BG32">
        <f t="shared" si="18"/>
        <v>0.31204595331482698</v>
      </c>
      <c r="BL32" s="9">
        <v>2</v>
      </c>
      <c r="BM32" s="7">
        <f t="shared" si="22"/>
        <v>-0.55959219235071955</v>
      </c>
      <c r="BN32" s="3">
        <f t="shared" si="37"/>
        <v>-0.61379408212829589</v>
      </c>
      <c r="BO32" s="3">
        <f t="shared" si="38"/>
        <v>-0.73979075039743269</v>
      </c>
      <c r="BP32" s="3">
        <f t="shared" si="39"/>
        <v>-0.7323381780306486</v>
      </c>
      <c r="BQ32" s="3">
        <f t="shared" si="40"/>
        <v>-0.38525166261919708</v>
      </c>
      <c r="BR32" s="3">
        <f t="shared" si="41"/>
        <v>-0.79309847310203185</v>
      </c>
      <c r="BS32" s="3">
        <f t="shared" si="46"/>
        <v>-0.84355492850670277</v>
      </c>
      <c r="BT32" s="4">
        <f t="shared" si="45"/>
        <v>-0.55908978473045479</v>
      </c>
      <c r="BV32" t="s">
        <v>6</v>
      </c>
      <c r="BW32" s="2">
        <f t="shared" si="14"/>
        <v>-0.38525166261919708</v>
      </c>
      <c r="CB32" s="9">
        <v>2</v>
      </c>
      <c r="CC32" s="7">
        <v>-0.55959219235071955</v>
      </c>
      <c r="CD32" s="3">
        <v>-0.61379408212829589</v>
      </c>
      <c r="CE32" s="3">
        <v>-0.73979075039743269</v>
      </c>
      <c r="CF32" s="3">
        <v>-0.7323381780306486</v>
      </c>
      <c r="CG32" s="3">
        <v>-0.38525166261919708</v>
      </c>
      <c r="CH32" s="3">
        <v>-0.79309847310203185</v>
      </c>
      <c r="CI32" s="3">
        <v>-0.84355492850670277</v>
      </c>
      <c r="CJ32" s="4">
        <v>-0.55908978473045479</v>
      </c>
    </row>
    <row r="33" spans="1:88" ht="15" thickBot="1" x14ac:dyDescent="0.35">
      <c r="A33">
        <v>2.5</v>
      </c>
      <c r="B33">
        <v>1.3354289030434701</v>
      </c>
      <c r="C33">
        <v>1.34709824867724</v>
      </c>
      <c r="D33">
        <v>2.1653495549858102</v>
      </c>
      <c r="E33">
        <v>2.1635410000692801</v>
      </c>
      <c r="F33">
        <v>1.7209340202127701</v>
      </c>
      <c r="G33">
        <v>2.1653495549858102</v>
      </c>
      <c r="H33">
        <v>2.1653495549858102</v>
      </c>
      <c r="I33">
        <v>1.8924542420796899</v>
      </c>
      <c r="J33">
        <v>2.5</v>
      </c>
      <c r="K33">
        <v>5.85011005019674</v>
      </c>
      <c r="L33">
        <v>5.9965775155338701</v>
      </c>
      <c r="M33">
        <v>14.1670882789481</v>
      </c>
      <c r="N33">
        <v>14.126219565831899</v>
      </c>
      <c r="O33">
        <v>9.9063833850731697</v>
      </c>
      <c r="P33">
        <v>14.1670882789481</v>
      </c>
      <c r="Q33">
        <v>14.1670882789481</v>
      </c>
      <c r="R33">
        <v>11.319395738793199</v>
      </c>
      <c r="S33">
        <v>2.5</v>
      </c>
      <c r="T33">
        <v>0.93922898711165403</v>
      </c>
      <c r="U33">
        <v>0.93564965685343604</v>
      </c>
      <c r="V33">
        <v>0.89097631609035999</v>
      </c>
      <c r="W33">
        <v>0.89121032498527997</v>
      </c>
      <c r="X33">
        <v>0.91284851156914604</v>
      </c>
      <c r="Y33">
        <v>0.89097631609035999</v>
      </c>
      <c r="Z33">
        <v>0.89097631609035999</v>
      </c>
      <c r="AA33">
        <v>0.88866721416778305</v>
      </c>
      <c r="AB33">
        <v>2.5</v>
      </c>
      <c r="AC33">
        <v>-2.10377880567993</v>
      </c>
      <c r="AD33">
        <v>-2.4317976152941698</v>
      </c>
      <c r="AE33">
        <v>-4.9356931140946703</v>
      </c>
      <c r="AF33">
        <v>-4.8691180840347901</v>
      </c>
      <c r="AG33">
        <v>-3.5626367865359199</v>
      </c>
      <c r="AH33">
        <v>-4.9356931140946703</v>
      </c>
      <c r="AI33">
        <v>-4.9356931140946703</v>
      </c>
      <c r="AJ33">
        <v>-4.1111948862963796</v>
      </c>
      <c r="AO33">
        <v>2.5</v>
      </c>
      <c r="AP33">
        <f t="shared" si="4"/>
        <v>0.40038421319374484</v>
      </c>
      <c r="AQ33">
        <f t="shared" si="25"/>
        <v>0.39514460526870998</v>
      </c>
      <c r="AR33">
        <f t="shared" si="26"/>
        <v>2.7744738664588264E-2</v>
      </c>
      <c r="AS33">
        <f t="shared" si="27"/>
        <v>2.8556790939918031E-2</v>
      </c>
      <c r="AT33">
        <f t="shared" si="28"/>
        <v>0.22729004575248268</v>
      </c>
      <c r="AU33">
        <f t="shared" si="29"/>
        <v>2.7744738664588264E-2</v>
      </c>
      <c r="AV33">
        <f t="shared" si="30"/>
        <v>2.7744738664588264E-2</v>
      </c>
      <c r="AW33">
        <f t="shared" si="16"/>
        <v>0.15027641174057238</v>
      </c>
      <c r="AY33">
        <v>2.5</v>
      </c>
      <c r="AZ33">
        <f t="shared" si="6"/>
        <v>0.46389810679895094</v>
      </c>
      <c r="BA33">
        <f t="shared" si="31"/>
        <v>0.4504758831508755</v>
      </c>
      <c r="BB33">
        <f t="shared" si="32"/>
        <v>-0.29826666204938279</v>
      </c>
      <c r="BC33">
        <f t="shared" si="33"/>
        <v>-0.29452146849126359</v>
      </c>
      <c r="BD33">
        <f t="shared" si="34"/>
        <v>9.2182738111988183E-2</v>
      </c>
      <c r="BE33">
        <f t="shared" si="35"/>
        <v>-0.29826666204938279</v>
      </c>
      <c r="BF33">
        <f t="shared" si="36"/>
        <v>-0.29826666204938279</v>
      </c>
      <c r="BG33">
        <f t="shared" si="18"/>
        <v>-3.7305184584492057E-2</v>
      </c>
      <c r="BL33" s="10">
        <v>2.5</v>
      </c>
      <c r="BM33" s="8">
        <f t="shared" si="22"/>
        <v>-7.5066874643895054E-2</v>
      </c>
      <c r="BN33" s="5">
        <f t="shared" si="37"/>
        <v>-0.16263186750528708</v>
      </c>
      <c r="BO33" s="5">
        <f t="shared" si="38"/>
        <v>-1.0788096803472762</v>
      </c>
      <c r="BP33" s="5">
        <f t="shared" si="39"/>
        <v>-1.0609681091502139</v>
      </c>
      <c r="BQ33" s="5">
        <f t="shared" si="40"/>
        <v>-0.58257887277557574</v>
      </c>
      <c r="BR33" s="5">
        <f t="shared" si="41"/>
        <v>-1.0788096803472762</v>
      </c>
      <c r="BS33" s="5">
        <f t="shared" si="46"/>
        <v>-1.0788096803472762</v>
      </c>
      <c r="BT33" s="6">
        <f t="shared" si="45"/>
        <v>-0.77738911124312904</v>
      </c>
      <c r="BV33" t="s">
        <v>2</v>
      </c>
      <c r="BW33" s="2">
        <f t="shared" si="14"/>
        <v>-7.5066874643895054E-2</v>
      </c>
      <c r="CB33" s="10">
        <v>2.5</v>
      </c>
      <c r="CC33" s="8">
        <v>-7.5066874643895054E-2</v>
      </c>
      <c r="CD33" s="5">
        <v>-0.16263186750528708</v>
      </c>
      <c r="CE33" s="5">
        <v>-1.0788096803472762</v>
      </c>
      <c r="CF33" s="5">
        <v>-1.0609681091502139</v>
      </c>
      <c r="CG33" s="5">
        <v>-0.58257887277557574</v>
      </c>
      <c r="CH33" s="5">
        <v>-1.0788096803472762</v>
      </c>
      <c r="CI33" s="5">
        <v>-1.0788096803472762</v>
      </c>
      <c r="CJ33" s="6">
        <v>-0.77738911124312904</v>
      </c>
    </row>
    <row r="34" spans="1:88" ht="15" thickBot="1" x14ac:dyDescent="0.35">
      <c r="A34" t="s">
        <v>12</v>
      </c>
      <c r="J34" t="s">
        <v>12</v>
      </c>
      <c r="S34" t="s">
        <v>12</v>
      </c>
      <c r="AB34" t="s">
        <v>12</v>
      </c>
      <c r="AO34" t="s">
        <v>12</v>
      </c>
      <c r="AY34" t="s">
        <v>12</v>
      </c>
      <c r="BL34" t="s">
        <v>12</v>
      </c>
      <c r="BW34" s="2"/>
      <c r="CB34" t="s">
        <v>12</v>
      </c>
    </row>
    <row r="35" spans="1:88" ht="15" thickBot="1" x14ac:dyDescent="0.3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J35" t="s">
        <v>1</v>
      </c>
      <c r="K35" t="s">
        <v>2</v>
      </c>
      <c r="L35" t="s">
        <v>3</v>
      </c>
      <c r="M35" t="s">
        <v>4</v>
      </c>
      <c r="N35" t="s">
        <v>5</v>
      </c>
      <c r="O35" t="s">
        <v>6</v>
      </c>
      <c r="P35" t="s">
        <v>7</v>
      </c>
      <c r="Q35" t="s">
        <v>8</v>
      </c>
      <c r="S35" t="s">
        <v>1</v>
      </c>
      <c r="T35" t="s">
        <v>2</v>
      </c>
      <c r="U35" t="s">
        <v>3</v>
      </c>
      <c r="V35" t="s">
        <v>4</v>
      </c>
      <c r="W35" t="s">
        <v>5</v>
      </c>
      <c r="X35" t="s">
        <v>6</v>
      </c>
      <c r="Y35" t="s">
        <v>7</v>
      </c>
      <c r="Z35" t="s">
        <v>8</v>
      </c>
      <c r="AB35" t="s">
        <v>1</v>
      </c>
      <c r="AC35" t="s">
        <v>2</v>
      </c>
      <c r="AD35" t="s">
        <v>3</v>
      </c>
      <c r="AE35" t="s">
        <v>4</v>
      </c>
      <c r="AF35" t="s">
        <v>5</v>
      </c>
      <c r="AG35" t="s">
        <v>6</v>
      </c>
      <c r="AH35" t="s">
        <v>7</v>
      </c>
      <c r="AI35" t="s">
        <v>8</v>
      </c>
      <c r="AO35" t="s">
        <v>1</v>
      </c>
      <c r="AY35" t="s">
        <v>1</v>
      </c>
      <c r="BL35" s="15" t="s">
        <v>1</v>
      </c>
      <c r="BM35" s="16" t="s">
        <v>2</v>
      </c>
      <c r="BN35" s="17" t="s">
        <v>3</v>
      </c>
      <c r="BO35" s="17" t="s">
        <v>4</v>
      </c>
      <c r="BP35" s="17" t="s">
        <v>5</v>
      </c>
      <c r="BQ35" s="17" t="s">
        <v>6</v>
      </c>
      <c r="BR35" s="17" t="s">
        <v>7</v>
      </c>
      <c r="BS35" s="17" t="s">
        <v>8</v>
      </c>
      <c r="BT35" s="18" t="s">
        <v>23</v>
      </c>
      <c r="BW35" s="2"/>
      <c r="CB35" s="15" t="s">
        <v>1</v>
      </c>
      <c r="CC35" s="16" t="s">
        <v>2</v>
      </c>
      <c r="CD35" s="17" t="s">
        <v>3</v>
      </c>
      <c r="CE35" s="17" t="s">
        <v>4</v>
      </c>
      <c r="CF35" s="17" t="s">
        <v>5</v>
      </c>
      <c r="CG35" s="17" t="s">
        <v>6</v>
      </c>
      <c r="CH35" s="17" t="s">
        <v>7</v>
      </c>
      <c r="CI35" s="17" t="s">
        <v>8</v>
      </c>
      <c r="CJ35" s="18" t="s">
        <v>23</v>
      </c>
    </row>
    <row r="36" spans="1:88" x14ac:dyDescent="0.3">
      <c r="A36">
        <v>0.2</v>
      </c>
      <c r="B36">
        <v>0.29615591516436901</v>
      </c>
      <c r="C36">
        <v>0.34327830434782602</v>
      </c>
      <c r="D36">
        <v>0.34960134529148001</v>
      </c>
      <c r="E36">
        <v>0.34948910538116601</v>
      </c>
      <c r="F36">
        <v>0.439339306053812</v>
      </c>
      <c r="G36">
        <v>0.79039692825111996</v>
      </c>
      <c r="H36">
        <v>0.80394234753363103</v>
      </c>
      <c r="I36" s="19">
        <v>0.38557399785177199</v>
      </c>
      <c r="J36">
        <v>0.2</v>
      </c>
      <c r="K36">
        <v>0.236076468716861</v>
      </c>
      <c r="L36">
        <v>0.31134668822905698</v>
      </c>
      <c r="M36">
        <v>0.32298422197309401</v>
      </c>
      <c r="N36">
        <v>0.32274893721973202</v>
      </c>
      <c r="O36">
        <v>0.48603666704035797</v>
      </c>
      <c r="P36">
        <v>1.6093083150224201</v>
      </c>
      <c r="Q36">
        <v>1.78112985426009</v>
      </c>
      <c r="R36">
        <v>0.39977765999999998</v>
      </c>
      <c r="S36">
        <v>0.2</v>
      </c>
      <c r="T36">
        <v>0.99343510286320302</v>
      </c>
      <c r="U36">
        <v>0.99263237645811297</v>
      </c>
      <c r="V36">
        <v>0.99249308744394804</v>
      </c>
      <c r="W36">
        <v>0.99249381950672699</v>
      </c>
      <c r="X36">
        <v>0.99125899775784798</v>
      </c>
      <c r="Y36">
        <v>0.98350488565022398</v>
      </c>
      <c r="Z36">
        <v>0.98318577690582898</v>
      </c>
      <c r="AA36" s="21">
        <v>0.99181291000000005</v>
      </c>
      <c r="AB36">
        <v>0.2</v>
      </c>
      <c r="AC36">
        <v>0.99377759172852698</v>
      </c>
      <c r="AD36">
        <v>0.99194161611876996</v>
      </c>
      <c r="AE36">
        <v>0.99185078475336397</v>
      </c>
      <c r="AF36">
        <v>0.99185629708520195</v>
      </c>
      <c r="AG36">
        <v>0.98790989013453001</v>
      </c>
      <c r="AH36">
        <v>0.95956765470852001</v>
      </c>
      <c r="AI36">
        <v>0.95497639125560496</v>
      </c>
      <c r="AJ36" s="20">
        <v>0.98870634000000002</v>
      </c>
      <c r="AO36">
        <v>0.2</v>
      </c>
      <c r="AP36">
        <f t="shared" si="4"/>
        <v>0.86702417351915795</v>
      </c>
      <c r="AQ36">
        <f t="shared" si="25"/>
        <v>0.84586593109828878</v>
      </c>
      <c r="AR36">
        <f t="shared" si="26"/>
        <v>0.84302684684468565</v>
      </c>
      <c r="AS36">
        <f t="shared" si="27"/>
        <v>0.84307724325439382</v>
      </c>
      <c r="AT36">
        <f t="shared" si="28"/>
        <v>0.80273395081235899</v>
      </c>
      <c r="AU36">
        <f t="shared" si="29"/>
        <v>0.64510692037409401</v>
      </c>
      <c r="AV36">
        <f t="shared" si="30"/>
        <v>0.63902494384790587</v>
      </c>
      <c r="AW36">
        <f t="shared" si="16"/>
        <v>0.82687490470887481</v>
      </c>
      <c r="AY36">
        <v>0.2</v>
      </c>
      <c r="AZ36">
        <f t="shared" si="6"/>
        <v>0.9783660408550654</v>
      </c>
      <c r="BA36">
        <f t="shared" si="31"/>
        <v>0.97146830613966639</v>
      </c>
      <c r="BB36">
        <f t="shared" si="32"/>
        <v>0.97040184690747477</v>
      </c>
      <c r="BC36">
        <f t="shared" si="33"/>
        <v>0.97042340831412122</v>
      </c>
      <c r="BD36">
        <f t="shared" si="34"/>
        <v>0.95545978193064918</v>
      </c>
      <c r="BE36">
        <f t="shared" si="35"/>
        <v>0.85252358895390434</v>
      </c>
      <c r="BF36">
        <f t="shared" si="36"/>
        <v>0.83677792747272672</v>
      </c>
      <c r="BG36">
        <f t="shared" si="18"/>
        <v>0.9633645250180759</v>
      </c>
      <c r="BL36" s="11">
        <v>0.2</v>
      </c>
      <c r="BM36" s="12">
        <f t="shared" si="22"/>
        <v>0.95815072724148842</v>
      </c>
      <c r="BN36" s="13">
        <f t="shared" si="37"/>
        <v>0.95047705745370958</v>
      </c>
      <c r="BO36" s="13">
        <f t="shared" si="38"/>
        <v>0.94944314148736808</v>
      </c>
      <c r="BP36" s="13">
        <f t="shared" si="39"/>
        <v>0.94946269204011102</v>
      </c>
      <c r="BQ36" s="13">
        <f t="shared" si="40"/>
        <v>0.93434065515884646</v>
      </c>
      <c r="BR36" s="13">
        <f t="shared" si="41"/>
        <v>0.8601757624216857</v>
      </c>
      <c r="BS36" s="13">
        <f t="shared" si="42"/>
        <v>0.85349125987051666</v>
      </c>
      <c r="BT36" s="4">
        <f t="shared" ref="BT36:BT41" si="47">($BJ$3*AW36)+($BJ$4*BG36)+($BJ$5*AA36)+($BJ$6*AJ36)</f>
        <v>0.94268966993173775</v>
      </c>
      <c r="BV36" t="s">
        <v>2</v>
      </c>
      <c r="BW36" s="2">
        <f t="shared" si="14"/>
        <v>0.95815072724148842</v>
      </c>
      <c r="CB36" s="11">
        <v>0.2</v>
      </c>
      <c r="CC36" s="12">
        <v>0.95815072724148842</v>
      </c>
      <c r="CD36" s="13">
        <v>0.95047705745370958</v>
      </c>
      <c r="CE36" s="13">
        <v>0.94944314148736808</v>
      </c>
      <c r="CF36" s="13">
        <v>0.94946269204011102</v>
      </c>
      <c r="CG36" s="13">
        <v>0.93434065515884646</v>
      </c>
      <c r="CH36" s="13">
        <v>0.8601757624216857</v>
      </c>
      <c r="CI36" s="13">
        <v>0.85349125987051666</v>
      </c>
      <c r="CJ36" s="14" t="s">
        <v>24</v>
      </c>
    </row>
    <row r="37" spans="1:88" x14ac:dyDescent="0.3">
      <c r="A37">
        <v>0.5</v>
      </c>
      <c r="B37">
        <v>1.092685252386</v>
      </c>
      <c r="C37">
        <v>1.0415240296924699</v>
      </c>
      <c r="D37">
        <v>1.4889030235426</v>
      </c>
      <c r="E37">
        <v>1.48994087443946</v>
      </c>
      <c r="F37">
        <v>1.1347456069428901</v>
      </c>
      <c r="G37">
        <v>1.4889030235426</v>
      </c>
      <c r="H37">
        <v>1.4889030235426</v>
      </c>
      <c r="I37">
        <v>1.08744830252101</v>
      </c>
      <c r="J37">
        <v>0.5</v>
      </c>
      <c r="K37">
        <v>2.4262617168610801</v>
      </c>
      <c r="L37">
        <v>2.0920248366914098</v>
      </c>
      <c r="M37">
        <v>4.6380656636771302</v>
      </c>
      <c r="N37">
        <v>4.6449722141255503</v>
      </c>
      <c r="O37">
        <v>2.3558078577827599</v>
      </c>
      <c r="P37">
        <v>4.6380656636771302</v>
      </c>
      <c r="Q37">
        <v>4.6380656636771302</v>
      </c>
      <c r="R37">
        <v>2.42699903781513</v>
      </c>
      <c r="S37">
        <v>0.5</v>
      </c>
      <c r="T37">
        <v>0.97859443584305295</v>
      </c>
      <c r="U37">
        <v>0.97774330116649</v>
      </c>
      <c r="V37">
        <v>0.96828090695067304</v>
      </c>
      <c r="W37">
        <v>0.96827296748878899</v>
      </c>
      <c r="X37">
        <v>0.97361890481523095</v>
      </c>
      <c r="Y37">
        <v>0.96828090695067304</v>
      </c>
      <c r="Z37">
        <v>0.96828090695067304</v>
      </c>
      <c r="AA37">
        <v>0.97646474894958002</v>
      </c>
      <c r="AB37">
        <v>0.5</v>
      </c>
      <c r="AC37">
        <v>0.93798876033934298</v>
      </c>
      <c r="AD37">
        <v>0.94502306362672395</v>
      </c>
      <c r="AE37">
        <v>0.88421355156950698</v>
      </c>
      <c r="AF37">
        <v>0.88405535650224298</v>
      </c>
      <c r="AG37">
        <v>0.93806480627099698</v>
      </c>
      <c r="AH37">
        <v>0.88421355156950698</v>
      </c>
      <c r="AI37">
        <v>0.88421355156950698</v>
      </c>
      <c r="AJ37">
        <v>0.93336321638655495</v>
      </c>
      <c r="AO37">
        <v>0.5</v>
      </c>
      <c r="AP37">
        <f t="shared" si="4"/>
        <v>0.50937760456747017</v>
      </c>
      <c r="AQ37">
        <f t="shared" si="25"/>
        <v>0.53234930806245773</v>
      </c>
      <c r="AR37">
        <f t="shared" si="26"/>
        <v>0.33147338963155004</v>
      </c>
      <c r="AS37">
        <f t="shared" si="27"/>
        <v>0.33100738819883435</v>
      </c>
      <c r="AT37">
        <f t="shared" si="28"/>
        <v>0.49049224681199344</v>
      </c>
      <c r="AU37">
        <f t="shared" si="29"/>
        <v>0.33147338963155004</v>
      </c>
      <c r="AV37">
        <f t="shared" si="30"/>
        <v>0.33147338963155004</v>
      </c>
      <c r="AW37">
        <f t="shared" si="16"/>
        <v>0.51172902725017866</v>
      </c>
      <c r="AY37">
        <v>0.5</v>
      </c>
      <c r="AZ37">
        <f t="shared" si="6"/>
        <v>0.77765828528871705</v>
      </c>
      <c r="BA37">
        <f t="shared" si="31"/>
        <v>0.80828762776246188</v>
      </c>
      <c r="BB37">
        <f t="shared" si="32"/>
        <v>0.57496940027573173</v>
      </c>
      <c r="BC37">
        <f t="shared" si="33"/>
        <v>0.57433648658024283</v>
      </c>
      <c r="BD37">
        <f t="shared" si="34"/>
        <v>0.78411465053845064</v>
      </c>
      <c r="BE37">
        <f t="shared" si="35"/>
        <v>0.57496940027573173</v>
      </c>
      <c r="BF37">
        <f t="shared" si="36"/>
        <v>0.57496940027573173</v>
      </c>
      <c r="BG37">
        <f t="shared" si="18"/>
        <v>0.77759071747273212</v>
      </c>
      <c r="BL37" s="9">
        <v>0.5</v>
      </c>
      <c r="BM37" s="7">
        <f t="shared" si="22"/>
        <v>0.80090477150964579</v>
      </c>
      <c r="BN37" s="3">
        <f t="shared" si="37"/>
        <v>0.81585082515453344</v>
      </c>
      <c r="BO37" s="3">
        <f t="shared" si="38"/>
        <v>0.68973431210686542</v>
      </c>
      <c r="BP37" s="3">
        <f t="shared" si="39"/>
        <v>0.68941804969252729</v>
      </c>
      <c r="BQ37" s="3">
        <f t="shared" si="40"/>
        <v>0.79657265210916794</v>
      </c>
      <c r="BR37" s="3">
        <f t="shared" si="41"/>
        <v>0.68973431210686542</v>
      </c>
      <c r="BS37" s="3">
        <f t="shared" ref="BS37:BS41" si="48">($BJ$3*AV37)+($BJ$4*BF37)+($BJ$5*Z37)+($BJ$6*AI37)</f>
        <v>0.68973431210686542</v>
      </c>
      <c r="BT37" s="4">
        <f t="shared" si="47"/>
        <v>0.79978692751476144</v>
      </c>
      <c r="BV37" t="s">
        <v>3</v>
      </c>
      <c r="BW37" s="2">
        <f t="shared" si="14"/>
        <v>0.81585082515453344</v>
      </c>
      <c r="CB37" s="9">
        <v>0.5</v>
      </c>
      <c r="CC37" s="7">
        <v>0.80090477150964579</v>
      </c>
      <c r="CD37" s="3">
        <v>0.81585082515453344</v>
      </c>
      <c r="CE37" s="3">
        <v>0.68973431210686542</v>
      </c>
      <c r="CF37" s="3">
        <v>0.68941804969252729</v>
      </c>
      <c r="CG37" s="3">
        <v>0.79657265210916794</v>
      </c>
      <c r="CH37" s="3">
        <v>0.68973431210686542</v>
      </c>
      <c r="CI37" s="3">
        <v>0.68973431210686542</v>
      </c>
      <c r="CJ37" s="4">
        <v>0.79978692751476144</v>
      </c>
    </row>
    <row r="38" spans="1:88" x14ac:dyDescent="0.3">
      <c r="A38">
        <v>1</v>
      </c>
      <c r="B38">
        <v>1.6901263181336199</v>
      </c>
      <c r="C38">
        <v>1.63562344962884</v>
      </c>
      <c r="D38">
        <v>2.2422100100896798</v>
      </c>
      <c r="E38">
        <v>2.2441606771300502</v>
      </c>
      <c r="F38">
        <v>1.70038555095185</v>
      </c>
      <c r="G38">
        <v>2.4841791928251098</v>
      </c>
      <c r="H38">
        <v>2.4120350762331801</v>
      </c>
      <c r="I38">
        <v>1.77389739285714</v>
      </c>
      <c r="J38">
        <v>1</v>
      </c>
      <c r="K38">
        <v>5.2761926808059396</v>
      </c>
      <c r="L38">
        <v>4.6310258685047803</v>
      </c>
      <c r="M38">
        <v>10.1535557600897</v>
      </c>
      <c r="N38">
        <v>10.169691957399101</v>
      </c>
      <c r="O38">
        <v>4.8081201858902602</v>
      </c>
      <c r="P38">
        <v>12.975027903587501</v>
      </c>
      <c r="Q38">
        <v>12.419218090807201</v>
      </c>
      <c r="R38">
        <v>5.9659164117647103</v>
      </c>
      <c r="S38">
        <v>1</v>
      </c>
      <c r="T38">
        <v>0.96677463732767799</v>
      </c>
      <c r="U38">
        <v>0.96677169671261898</v>
      </c>
      <c r="V38">
        <v>0.94766390695067404</v>
      </c>
      <c r="W38">
        <v>0.94760459304932798</v>
      </c>
      <c r="X38">
        <v>0.95940376259798499</v>
      </c>
      <c r="Y38">
        <v>0.94098106278026905</v>
      </c>
      <c r="Z38">
        <v>0.94172809529148005</v>
      </c>
      <c r="AA38">
        <v>0.95928385504201696</v>
      </c>
      <c r="AB38">
        <v>1</v>
      </c>
      <c r="AC38">
        <v>0.86535847295864299</v>
      </c>
      <c r="AD38">
        <v>0.87555334888653302</v>
      </c>
      <c r="AE38">
        <v>0.73390558856502297</v>
      </c>
      <c r="AF38">
        <v>0.73350257286995602</v>
      </c>
      <c r="AG38">
        <v>0.87100039417693198</v>
      </c>
      <c r="AH38">
        <v>0.64876013677129996</v>
      </c>
      <c r="AI38">
        <v>0.64405714237668099</v>
      </c>
      <c r="AJ38">
        <v>0.83898859663865499</v>
      </c>
      <c r="AO38">
        <v>1</v>
      </c>
      <c r="AP38">
        <f t="shared" si="4"/>
        <v>0.24112289337153781</v>
      </c>
      <c r="AQ38">
        <f t="shared" si="25"/>
        <v>0.26559501637802008</v>
      </c>
      <c r="AR38">
        <f t="shared" si="26"/>
        <v>-6.766078164642364E-3</v>
      </c>
      <c r="AS38">
        <f t="shared" si="27"/>
        <v>-7.6419396571882903E-3</v>
      </c>
      <c r="AT38">
        <f t="shared" si="28"/>
        <v>0.23651643476912776</v>
      </c>
      <c r="AU38">
        <f t="shared" si="29"/>
        <v>-0.11541172868045169</v>
      </c>
      <c r="AV38">
        <f t="shared" si="30"/>
        <v>-8.301857683603342E-2</v>
      </c>
      <c r="AW38">
        <f t="shared" si="16"/>
        <v>0.20350916585113388</v>
      </c>
      <c r="AY38">
        <v>1</v>
      </c>
      <c r="AZ38">
        <f t="shared" si="6"/>
        <v>0.51649167950636121</v>
      </c>
      <c r="BA38">
        <f t="shared" si="31"/>
        <v>0.57561452446780015</v>
      </c>
      <c r="BB38">
        <f t="shared" si="32"/>
        <v>6.9531954270937946E-2</v>
      </c>
      <c r="BC38">
        <f t="shared" si="33"/>
        <v>6.8053239195083215E-2</v>
      </c>
      <c r="BD38">
        <f t="shared" si="34"/>
        <v>0.55938566757265318</v>
      </c>
      <c r="BE38">
        <f t="shared" si="35"/>
        <v>-0.18902669586801513</v>
      </c>
      <c r="BF38">
        <f t="shared" si="36"/>
        <v>-0.13809249286422398</v>
      </c>
      <c r="BG38">
        <f t="shared" si="18"/>
        <v>0.45328565521280917</v>
      </c>
      <c r="BL38" s="9">
        <v>1</v>
      </c>
      <c r="BM38" s="7">
        <f t="shared" si="22"/>
        <v>0.64743692079105497</v>
      </c>
      <c r="BN38" s="3">
        <f t="shared" si="37"/>
        <v>0.67088364661124311</v>
      </c>
      <c r="BO38" s="3">
        <f t="shared" si="38"/>
        <v>0.43608384290549818</v>
      </c>
      <c r="BP38" s="3">
        <f t="shared" si="39"/>
        <v>0.43537961636429473</v>
      </c>
      <c r="BQ38" s="3">
        <f t="shared" si="40"/>
        <v>0.65657656477917448</v>
      </c>
      <c r="BR38" s="3">
        <f t="shared" si="41"/>
        <v>0.32132569375077558</v>
      </c>
      <c r="BS38" s="3">
        <f t="shared" si="48"/>
        <v>0.34116854199197588</v>
      </c>
      <c r="BT38" s="4">
        <f t="shared" si="47"/>
        <v>0.61376681818615375</v>
      </c>
      <c r="BV38" t="s">
        <v>3</v>
      </c>
      <c r="BW38" s="2">
        <f t="shared" si="14"/>
        <v>0.67088364661124311</v>
      </c>
      <c r="CB38" s="9">
        <v>1</v>
      </c>
      <c r="CC38" s="7">
        <v>0.64743692079105497</v>
      </c>
      <c r="CD38" s="3">
        <v>0.67088364661124311</v>
      </c>
      <c r="CE38" s="3">
        <v>0.43608384290549818</v>
      </c>
      <c r="CF38" s="3">
        <v>0.43537961636429473</v>
      </c>
      <c r="CG38" s="3">
        <v>0.65657656477917448</v>
      </c>
      <c r="CH38" s="3">
        <v>0.32132569375077558</v>
      </c>
      <c r="CI38" s="3">
        <v>0.34116854199197588</v>
      </c>
      <c r="CJ38" s="4">
        <v>0.61376681818615375</v>
      </c>
    </row>
    <row r="39" spans="1:88" x14ac:dyDescent="0.3">
      <c r="A39">
        <v>1.5</v>
      </c>
      <c r="B39">
        <v>2.0854527077114402</v>
      </c>
      <c r="C39">
        <v>2.1893838669154202</v>
      </c>
      <c r="D39">
        <v>3.0775260650224201</v>
      </c>
      <c r="E39">
        <v>3.0908152701793701</v>
      </c>
      <c r="F39">
        <v>2.5870682497200401</v>
      </c>
      <c r="G39">
        <v>3.0775260650224201</v>
      </c>
      <c r="H39">
        <v>3.0775260650224201</v>
      </c>
      <c r="I39">
        <v>2.70700129306723</v>
      </c>
      <c r="J39">
        <v>1.5</v>
      </c>
      <c r="K39">
        <v>7.6979026778607</v>
      </c>
      <c r="L39">
        <v>8.1175743296019895</v>
      </c>
      <c r="M39">
        <v>18.1057503654709</v>
      </c>
      <c r="N39">
        <v>18.273800713004501</v>
      </c>
      <c r="O39">
        <v>10.907595024636001</v>
      </c>
      <c r="P39">
        <v>18.1057503654709</v>
      </c>
      <c r="Q39">
        <v>18.1057503654709</v>
      </c>
      <c r="R39">
        <v>14.5184227510504</v>
      </c>
      <c r="S39">
        <v>1.5</v>
      </c>
      <c r="T39">
        <v>0.95478900124378097</v>
      </c>
      <c r="U39">
        <v>0.95769859577114502</v>
      </c>
      <c r="V39">
        <v>0.91062724215246704</v>
      </c>
      <c r="W39">
        <v>0.91066462331838505</v>
      </c>
      <c r="X39">
        <v>0.94312030347144504</v>
      </c>
      <c r="Y39">
        <v>0.91062724215246704</v>
      </c>
      <c r="Z39">
        <v>0.91062724215246704</v>
      </c>
      <c r="AA39">
        <v>0.94412656302521003</v>
      </c>
      <c r="AB39">
        <v>1.5</v>
      </c>
      <c r="AC39">
        <v>0.77551972512437795</v>
      </c>
      <c r="AD39">
        <v>0.76425166169154202</v>
      </c>
      <c r="AE39">
        <v>0.49847639461883397</v>
      </c>
      <c r="AF39">
        <v>0.49346453363228698</v>
      </c>
      <c r="AG39">
        <v>0.70644743225083995</v>
      </c>
      <c r="AH39">
        <v>0.49847639461883397</v>
      </c>
      <c r="AI39">
        <v>0.49847639461883397</v>
      </c>
      <c r="AJ39">
        <v>0.64666954831932799</v>
      </c>
      <c r="AO39">
        <v>1.5</v>
      </c>
      <c r="AP39">
        <f t="shared" si="4"/>
        <v>6.3618914244118252E-2</v>
      </c>
      <c r="AQ39">
        <f t="shared" si="25"/>
        <v>1.6953184861030257E-2</v>
      </c>
      <c r="AR39">
        <f t="shared" si="26"/>
        <v>-0.38182812180388215</v>
      </c>
      <c r="AS39">
        <f t="shared" si="27"/>
        <v>-0.38779505661265712</v>
      </c>
      <c r="AT39">
        <f t="shared" si="28"/>
        <v>-0.16160954772061586</v>
      </c>
      <c r="AU39">
        <f t="shared" si="29"/>
        <v>-0.38182812180388215</v>
      </c>
      <c r="AV39">
        <f t="shared" si="30"/>
        <v>-0.38182812180388215</v>
      </c>
      <c r="AW39">
        <f t="shared" si="16"/>
        <v>-0.21546022145307808</v>
      </c>
      <c r="AY39">
        <v>1.5</v>
      </c>
      <c r="AZ39">
        <f t="shared" si="6"/>
        <v>0.29456708269278453</v>
      </c>
      <c r="BA39">
        <f t="shared" si="31"/>
        <v>0.25610852976116061</v>
      </c>
      <c r="BB39">
        <f t="shared" si="32"/>
        <v>-0.65920418000138392</v>
      </c>
      <c r="BC39">
        <f t="shared" si="33"/>
        <v>-0.67460425088771325</v>
      </c>
      <c r="BD39">
        <f t="shared" si="34"/>
        <v>4.3207857584681708E-4</v>
      </c>
      <c r="BE39">
        <f t="shared" si="35"/>
        <v>-0.65920418000138392</v>
      </c>
      <c r="BF39">
        <f t="shared" si="36"/>
        <v>-0.65920418000138392</v>
      </c>
      <c r="BG39">
        <f t="shared" si="18"/>
        <v>-0.33046282144205952</v>
      </c>
      <c r="BL39" s="9">
        <v>1.5</v>
      </c>
      <c r="BM39" s="7">
        <f t="shared" si="22"/>
        <v>0.52212368082626548</v>
      </c>
      <c r="BN39" s="3">
        <f t="shared" si="37"/>
        <v>0.4987529930212195</v>
      </c>
      <c r="BO39" s="3">
        <f t="shared" si="38"/>
        <v>9.2017833741508737E-2</v>
      </c>
      <c r="BP39" s="3">
        <f t="shared" si="39"/>
        <v>8.5432462362575415E-2</v>
      </c>
      <c r="BQ39" s="3">
        <f t="shared" si="40"/>
        <v>0.37209756664437899</v>
      </c>
      <c r="BR39" s="3">
        <f t="shared" si="41"/>
        <v>9.2017833741508737E-2</v>
      </c>
      <c r="BS39" s="3">
        <f t="shared" si="48"/>
        <v>9.2017833741508737E-2</v>
      </c>
      <c r="BT39" s="4">
        <f t="shared" si="47"/>
        <v>0.26121826711235008</v>
      </c>
      <c r="BV39" t="s">
        <v>2</v>
      </c>
      <c r="BW39" s="2">
        <f t="shared" si="14"/>
        <v>0.52212368082626548</v>
      </c>
      <c r="CB39" s="9">
        <v>1.5</v>
      </c>
      <c r="CC39" s="7">
        <v>0.52212368082626548</v>
      </c>
      <c r="CD39" s="3">
        <v>0.4987529930212195</v>
      </c>
      <c r="CE39" s="3">
        <v>9.2017833741508737E-2</v>
      </c>
      <c r="CF39" s="3">
        <v>8.5432462362575415E-2</v>
      </c>
      <c r="CG39" s="3">
        <v>0.37209756664437899</v>
      </c>
      <c r="CH39" s="3">
        <v>9.2017833741508737E-2</v>
      </c>
      <c r="CI39" s="3">
        <v>9.2017833741508737E-2</v>
      </c>
      <c r="CJ39" s="4">
        <v>0.26121826711235008</v>
      </c>
    </row>
    <row r="40" spans="1:88" x14ac:dyDescent="0.3">
      <c r="A40">
        <v>2</v>
      </c>
      <c r="B40">
        <v>2.6708153067729099</v>
      </c>
      <c r="C40">
        <v>2.7434718027888501</v>
      </c>
      <c r="D40">
        <v>3.22863719708847</v>
      </c>
      <c r="E40">
        <v>3.2406959473684198</v>
      </c>
      <c r="F40">
        <v>3.5024568924972002</v>
      </c>
      <c r="G40">
        <v>3.2935967110862299</v>
      </c>
      <c r="H40">
        <v>3.1951369843225099</v>
      </c>
      <c r="I40">
        <v>3.3455864453781499</v>
      </c>
      <c r="J40">
        <v>2</v>
      </c>
      <c r="K40">
        <v>15.9596789880478</v>
      </c>
      <c r="L40">
        <v>16.658257739043801</v>
      </c>
      <c r="M40">
        <v>21.320093692049198</v>
      </c>
      <c r="N40">
        <v>21.466458090705501</v>
      </c>
      <c r="O40">
        <v>22.0353165039194</v>
      </c>
      <c r="P40">
        <v>22.468657592385199</v>
      </c>
      <c r="Q40">
        <v>20.953354599104099</v>
      </c>
      <c r="R40">
        <v>20.0220314642857</v>
      </c>
      <c r="S40">
        <v>2</v>
      </c>
      <c r="T40">
        <v>0.94767756772908296</v>
      </c>
      <c r="U40">
        <v>0.94380331673306705</v>
      </c>
      <c r="V40">
        <v>0.90727585106383002</v>
      </c>
      <c r="W40">
        <v>0.90728071668532795</v>
      </c>
      <c r="X40">
        <v>0.917825341545353</v>
      </c>
      <c r="Y40">
        <v>0.90515536954087406</v>
      </c>
      <c r="Z40">
        <v>0.90505583090705499</v>
      </c>
      <c r="AA40">
        <v>0.92580222478991603</v>
      </c>
      <c r="AB40">
        <v>2</v>
      </c>
      <c r="AC40">
        <v>0.50405806374502005</v>
      </c>
      <c r="AD40">
        <v>0.47005723505976099</v>
      </c>
      <c r="AE40">
        <v>0.31911768980963001</v>
      </c>
      <c r="AF40">
        <v>0.31321891489361697</v>
      </c>
      <c r="AG40">
        <v>0.324232771556551</v>
      </c>
      <c r="AH40">
        <v>0.28447684770436699</v>
      </c>
      <c r="AI40">
        <v>0.32648410078387502</v>
      </c>
      <c r="AJ40">
        <v>0.43178690756302501</v>
      </c>
      <c r="AO40">
        <v>2</v>
      </c>
      <c r="AP40">
        <f t="shared" si="4"/>
        <v>-0.19921249115925299</v>
      </c>
      <c r="AQ40">
        <f t="shared" si="25"/>
        <v>-0.23183570451482427</v>
      </c>
      <c r="AR40">
        <f t="shared" si="26"/>
        <v>-0.44967794903352321</v>
      </c>
      <c r="AS40">
        <f t="shared" si="27"/>
        <v>-0.45509240203849677</v>
      </c>
      <c r="AT40">
        <f t="shared" si="28"/>
        <v>-0.57262467553567564</v>
      </c>
      <c r="AU40">
        <f t="shared" si="29"/>
        <v>-0.47884517014694161</v>
      </c>
      <c r="AV40">
        <f t="shared" si="30"/>
        <v>-0.43463614756430324</v>
      </c>
      <c r="AW40">
        <f t="shared" si="16"/>
        <v>-0.50218888044275145</v>
      </c>
      <c r="AY40">
        <v>2</v>
      </c>
      <c r="AZ40">
        <f t="shared" si="6"/>
        <v>-0.46253900302024054</v>
      </c>
      <c r="BA40">
        <f t="shared" si="31"/>
        <v>-0.52655649803238735</v>
      </c>
      <c r="BB40">
        <f t="shared" si="32"/>
        <v>-0.95376539816493477</v>
      </c>
      <c r="BC40">
        <f t="shared" si="33"/>
        <v>-0.96717817682099416</v>
      </c>
      <c r="BD40">
        <f t="shared" si="34"/>
        <v>-1.0193081486797388</v>
      </c>
      <c r="BE40">
        <f t="shared" si="35"/>
        <v>-1.0590193636714131</v>
      </c>
      <c r="BF40">
        <f t="shared" si="36"/>
        <v>-0.92015756508971047</v>
      </c>
      <c r="BG40">
        <f t="shared" si="18"/>
        <v>-0.83481146194396061</v>
      </c>
      <c r="BL40" s="9">
        <v>2</v>
      </c>
      <c r="BM40" s="7">
        <f t="shared" si="22"/>
        <v>0.19749603432365237</v>
      </c>
      <c r="BN40" s="3">
        <f t="shared" si="37"/>
        <v>0.16386708731140409</v>
      </c>
      <c r="BO40" s="3">
        <f t="shared" si="38"/>
        <v>-4.4262451581249487E-2</v>
      </c>
      <c r="BP40" s="3">
        <f t="shared" si="39"/>
        <v>-5.0442736820136502E-2</v>
      </c>
      <c r="BQ40" s="3">
        <f t="shared" si="40"/>
        <v>-8.7468677778377621E-2</v>
      </c>
      <c r="BR40" s="3">
        <f t="shared" si="41"/>
        <v>-8.7058079143278427E-2</v>
      </c>
      <c r="BS40" s="3">
        <f t="shared" si="48"/>
        <v>-3.0813445240770926E-2</v>
      </c>
      <c r="BT40" s="4">
        <f t="shared" si="47"/>
        <v>5.1471974915572455E-3</v>
      </c>
      <c r="BV40" t="s">
        <v>2</v>
      </c>
      <c r="BW40" s="2">
        <f t="shared" si="14"/>
        <v>0.19749603432365237</v>
      </c>
      <c r="CB40" s="9">
        <v>2</v>
      </c>
      <c r="CC40" s="7">
        <v>0.19749603432365237</v>
      </c>
      <c r="CD40" s="3">
        <v>0.16386708731140409</v>
      </c>
      <c r="CE40" s="3">
        <v>-4.4262451581249487E-2</v>
      </c>
      <c r="CF40" s="3">
        <v>-5.0442736820136502E-2</v>
      </c>
      <c r="CG40" s="3">
        <v>-8.7468677778377621E-2</v>
      </c>
      <c r="CH40" s="3">
        <v>-8.7058079143278427E-2</v>
      </c>
      <c r="CI40" s="3">
        <v>-3.0813445240770926E-2</v>
      </c>
      <c r="CJ40" s="4">
        <v>5.1471974915572455E-3</v>
      </c>
    </row>
    <row r="41" spans="1:88" ht="15" thickBot="1" x14ac:dyDescent="0.35">
      <c r="A41">
        <v>2.5</v>
      </c>
      <c r="B41">
        <v>2.8397719429735302</v>
      </c>
      <c r="C41">
        <v>2.8206512057026498</v>
      </c>
      <c r="D41">
        <v>4.8066796741321296</v>
      </c>
      <c r="E41">
        <v>4.8533745632698801</v>
      </c>
      <c r="F41">
        <v>3.5091075285554298</v>
      </c>
      <c r="G41">
        <v>4.8066796741321296</v>
      </c>
      <c r="H41">
        <v>4.8066796741321296</v>
      </c>
      <c r="I41">
        <v>3.9398513813025202</v>
      </c>
      <c r="J41">
        <v>2.5</v>
      </c>
      <c r="K41">
        <v>12.0645733360489</v>
      </c>
      <c r="L41">
        <v>11.78229999389</v>
      </c>
      <c r="M41">
        <v>31.386305530795099</v>
      </c>
      <c r="N41">
        <v>32.019765777155598</v>
      </c>
      <c r="O41">
        <v>17.616638714445699</v>
      </c>
      <c r="P41">
        <v>31.386305530795099</v>
      </c>
      <c r="Q41">
        <v>31.386305530795099</v>
      </c>
      <c r="R41">
        <v>24.1003440966387</v>
      </c>
      <c r="S41">
        <v>2.5</v>
      </c>
      <c r="T41">
        <v>0.94832672097759796</v>
      </c>
      <c r="U41">
        <v>0.94444763747454097</v>
      </c>
      <c r="V41">
        <v>0.87276326987682196</v>
      </c>
      <c r="W41">
        <v>0.87203834938409897</v>
      </c>
      <c r="X41">
        <v>0.93826701679731195</v>
      </c>
      <c r="Y41">
        <v>0.87276326987682196</v>
      </c>
      <c r="Z41">
        <v>0.87276326987682196</v>
      </c>
      <c r="AA41">
        <v>0.93449287815126003</v>
      </c>
      <c r="AB41">
        <v>2.5</v>
      </c>
      <c r="AC41">
        <v>0.55169747861507201</v>
      </c>
      <c r="AD41">
        <v>0.54529247657841096</v>
      </c>
      <c r="AE41">
        <v>0.22794183202687601</v>
      </c>
      <c r="AF41">
        <v>0.213403801791713</v>
      </c>
      <c r="AG41">
        <v>0.49311894288913799</v>
      </c>
      <c r="AH41">
        <v>0.22794183202687601</v>
      </c>
      <c r="AI41">
        <v>0.22794183202687601</v>
      </c>
      <c r="AJ41">
        <v>0.34660585399159699</v>
      </c>
      <c r="AO41">
        <v>2.5</v>
      </c>
      <c r="AP41">
        <f t="shared" si="4"/>
        <v>-0.27507505944775401</v>
      </c>
      <c r="AQ41">
        <f t="shared" si="25"/>
        <v>-0.26648973087139516</v>
      </c>
      <c r="AR41">
        <f t="shared" si="26"/>
        <v>-1.1582287219947589</v>
      </c>
      <c r="AS41">
        <f t="shared" si="27"/>
        <v>-1.1791950142671164</v>
      </c>
      <c r="AT41">
        <f t="shared" si="28"/>
        <v>-0.57561085200956286</v>
      </c>
      <c r="AU41">
        <f t="shared" si="29"/>
        <v>-1.1582287219947589</v>
      </c>
      <c r="AV41">
        <f t="shared" si="30"/>
        <v>-1.1582287219947589</v>
      </c>
      <c r="AW41">
        <f t="shared" si="16"/>
        <v>-0.76901748982328466</v>
      </c>
      <c r="AY41">
        <v>2.5</v>
      </c>
      <c r="AZ41">
        <f t="shared" si="6"/>
        <v>-0.10559298040918019</v>
      </c>
      <c r="BA41">
        <f t="shared" si="31"/>
        <v>-7.9725557090112087E-2</v>
      </c>
      <c r="BB41">
        <f t="shared" si="32"/>
        <v>-1.8762292796662758</v>
      </c>
      <c r="BC41">
        <f t="shared" si="33"/>
        <v>-1.9342793393108884</v>
      </c>
      <c r="BD41">
        <f t="shared" si="34"/>
        <v>-0.61438217155173369</v>
      </c>
      <c r="BE41">
        <f t="shared" si="35"/>
        <v>-1.8762292796662758</v>
      </c>
      <c r="BF41">
        <f t="shared" si="36"/>
        <v>-1.8762292796662758</v>
      </c>
      <c r="BG41">
        <f t="shared" si="18"/>
        <v>-1.2085465035944454</v>
      </c>
      <c r="BL41" s="10">
        <v>2.5</v>
      </c>
      <c r="BM41" s="8">
        <f t="shared" si="22"/>
        <v>0.27983903993393394</v>
      </c>
      <c r="BN41" s="5">
        <f t="shared" si="37"/>
        <v>0.2858812065228612</v>
      </c>
      <c r="BO41" s="5">
        <f t="shared" si="38"/>
        <v>-0.48343822493933414</v>
      </c>
      <c r="BP41" s="5">
        <f t="shared" si="39"/>
        <v>-0.50700805060054821</v>
      </c>
      <c r="BQ41" s="5">
        <f t="shared" si="40"/>
        <v>6.0348234031288348E-2</v>
      </c>
      <c r="BR41" s="5">
        <f t="shared" si="41"/>
        <v>-0.48343822493933414</v>
      </c>
      <c r="BS41" s="5">
        <f t="shared" si="48"/>
        <v>-0.48343822493933414</v>
      </c>
      <c r="BT41" s="6">
        <f t="shared" si="47"/>
        <v>-0.17411631531871824</v>
      </c>
      <c r="BV41" t="s">
        <v>3</v>
      </c>
      <c r="BW41" s="2">
        <f t="shared" si="14"/>
        <v>0.2858812065228612</v>
      </c>
      <c r="CB41" s="10">
        <v>2.5</v>
      </c>
      <c r="CC41" s="8">
        <v>0.27983903993393394</v>
      </c>
      <c r="CD41" s="5">
        <v>0.2858812065228612</v>
      </c>
      <c r="CE41" s="5">
        <v>-0.48343822493933414</v>
      </c>
      <c r="CF41" s="5">
        <v>-0.50700805060054821</v>
      </c>
      <c r="CG41" s="5">
        <v>6.0348234031288348E-2</v>
      </c>
      <c r="CH41" s="5">
        <v>-0.48343822493933414</v>
      </c>
      <c r="CI41" s="5">
        <v>-0.48343822493933414</v>
      </c>
      <c r="CJ41" s="6">
        <v>-0.17411631531871824</v>
      </c>
    </row>
    <row r="42" spans="1:88" ht="15" thickBot="1" x14ac:dyDescent="0.35">
      <c r="A42" t="s">
        <v>13</v>
      </c>
      <c r="J42" t="s">
        <v>13</v>
      </c>
      <c r="S42" t="s">
        <v>13</v>
      </c>
      <c r="AB42" t="s">
        <v>13</v>
      </c>
      <c r="AO42" t="s">
        <v>13</v>
      </c>
      <c r="AY42" t="s">
        <v>13</v>
      </c>
      <c r="BL42" t="s">
        <v>13</v>
      </c>
      <c r="BW42" s="2"/>
      <c r="CB42" t="s">
        <v>13</v>
      </c>
    </row>
    <row r="43" spans="1:88" ht="15" thickBot="1" x14ac:dyDescent="0.35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J43" t="s">
        <v>1</v>
      </c>
      <c r="K43" t="s">
        <v>2</v>
      </c>
      <c r="L43" t="s">
        <v>3</v>
      </c>
      <c r="M43" t="s">
        <v>4</v>
      </c>
      <c r="N43" t="s">
        <v>5</v>
      </c>
      <c r="O43" t="s">
        <v>6</v>
      </c>
      <c r="P43" t="s">
        <v>7</v>
      </c>
      <c r="Q43" t="s">
        <v>8</v>
      </c>
      <c r="S43" t="s">
        <v>1</v>
      </c>
      <c r="T43" t="s">
        <v>2</v>
      </c>
      <c r="U43" t="s">
        <v>3</v>
      </c>
      <c r="V43" t="s">
        <v>4</v>
      </c>
      <c r="W43" t="s">
        <v>5</v>
      </c>
      <c r="X43" t="s">
        <v>6</v>
      </c>
      <c r="Y43" t="s">
        <v>7</v>
      </c>
      <c r="Z43" t="s">
        <v>8</v>
      </c>
      <c r="AB43" t="s">
        <v>1</v>
      </c>
      <c r="AC43" t="s">
        <v>2</v>
      </c>
      <c r="AD43" t="s">
        <v>3</v>
      </c>
      <c r="AE43" t="s">
        <v>4</v>
      </c>
      <c r="AF43" t="s">
        <v>5</v>
      </c>
      <c r="AG43" t="s">
        <v>6</v>
      </c>
      <c r="AH43" t="s">
        <v>7</v>
      </c>
      <c r="AI43" t="s">
        <v>8</v>
      </c>
      <c r="AO43" t="s">
        <v>1</v>
      </c>
      <c r="AY43" t="s">
        <v>1</v>
      </c>
      <c r="BL43" s="15" t="s">
        <v>1</v>
      </c>
      <c r="BM43" s="16" t="s">
        <v>2</v>
      </c>
      <c r="BN43" s="17" t="s">
        <v>3</v>
      </c>
      <c r="BO43" s="17" t="s">
        <v>4</v>
      </c>
      <c r="BP43" s="17" t="s">
        <v>5</v>
      </c>
      <c r="BQ43" s="17" t="s">
        <v>6</v>
      </c>
      <c r="BR43" s="17" t="s">
        <v>7</v>
      </c>
      <c r="BS43" s="17" t="s">
        <v>8</v>
      </c>
      <c r="BT43" s="18" t="s">
        <v>23</v>
      </c>
      <c r="BW43" s="2"/>
      <c r="CB43" s="15" t="s">
        <v>1</v>
      </c>
      <c r="CC43" s="16" t="s">
        <v>2</v>
      </c>
      <c r="CD43" s="17" t="s">
        <v>3</v>
      </c>
      <c r="CE43" s="17" t="s">
        <v>4</v>
      </c>
      <c r="CF43" s="17" t="s">
        <v>5</v>
      </c>
      <c r="CG43" s="17" t="s">
        <v>6</v>
      </c>
      <c r="CH43" s="17" t="s">
        <v>7</v>
      </c>
      <c r="CI43" s="17" t="s">
        <v>8</v>
      </c>
      <c r="CJ43" s="18" t="s">
        <v>23</v>
      </c>
    </row>
    <row r="44" spans="1:88" x14ac:dyDescent="0.3">
      <c r="A44">
        <v>0.2</v>
      </c>
      <c r="B44">
        <v>0.39068360942553498</v>
      </c>
      <c r="C44">
        <v>0.46155813291236902</v>
      </c>
      <c r="D44">
        <v>0.45251513444005897</v>
      </c>
      <c r="E44">
        <v>0.45244368349435299</v>
      </c>
      <c r="F44">
        <v>0.56428561798052701</v>
      </c>
      <c r="G44">
        <v>0.91962067505783895</v>
      </c>
      <c r="H44">
        <v>0.92996302319661095</v>
      </c>
      <c r="I44" s="19">
        <v>0.52497125592705196</v>
      </c>
      <c r="J44">
        <v>0.2</v>
      </c>
      <c r="K44">
        <v>0.40470894024333798</v>
      </c>
      <c r="L44">
        <v>0.56822482904666405</v>
      </c>
      <c r="M44">
        <v>0.55268327228194303</v>
      </c>
      <c r="N44">
        <v>0.55252698312695703</v>
      </c>
      <c r="O44">
        <v>0.81554624796585096</v>
      </c>
      <c r="P44">
        <v>2.2459089435297201</v>
      </c>
      <c r="Q44">
        <v>2.35243328868459</v>
      </c>
      <c r="R44">
        <v>0.77974495099999996</v>
      </c>
      <c r="S44">
        <v>0.2</v>
      </c>
      <c r="T44">
        <v>0.98883510565223198</v>
      </c>
      <c r="U44">
        <v>0.98642292037578005</v>
      </c>
      <c r="V44">
        <v>0.98568537107088094</v>
      </c>
      <c r="W44">
        <v>0.98568751911823904</v>
      </c>
      <c r="X44">
        <v>0.98130461131118096</v>
      </c>
      <c r="Y44">
        <v>0.97028322207101803</v>
      </c>
      <c r="Z44">
        <v>0.96967539702969396</v>
      </c>
      <c r="AA44">
        <v>0.95735846599999996</v>
      </c>
      <c r="AB44">
        <v>0.2</v>
      </c>
      <c r="AC44">
        <v>0.80166464792853698</v>
      </c>
      <c r="AD44">
        <v>0.71455750408131702</v>
      </c>
      <c r="AE44">
        <v>0.74991933882160799</v>
      </c>
      <c r="AF44">
        <v>0.74997708327664003</v>
      </c>
      <c r="AG44">
        <v>0.625529115246099</v>
      </c>
      <c r="AH44">
        <v>-0.13028757273098401</v>
      </c>
      <c r="AI44">
        <v>-0.32239898826025698</v>
      </c>
      <c r="AJ44" s="20">
        <v>0.60159940999999995</v>
      </c>
      <c r="AO44">
        <v>0.2</v>
      </c>
      <c r="AP44">
        <f t="shared" si="4"/>
        <v>0.8245806577017194</v>
      </c>
      <c r="AQ44">
        <f t="shared" si="25"/>
        <v>0.79275756096611349</v>
      </c>
      <c r="AR44">
        <f t="shared" si="26"/>
        <v>0.79681792287059561</v>
      </c>
      <c r="AS44">
        <f t="shared" si="27"/>
        <v>0.796850004784451</v>
      </c>
      <c r="AT44">
        <f t="shared" si="28"/>
        <v>0.74663228866940756</v>
      </c>
      <c r="AU44">
        <f t="shared" si="29"/>
        <v>0.58708466367516077</v>
      </c>
      <c r="AV44">
        <f t="shared" si="30"/>
        <v>0.58244088578288888</v>
      </c>
      <c r="AW44">
        <f t="shared" si="16"/>
        <v>0.76428467891029261</v>
      </c>
      <c r="AY44">
        <v>0.2</v>
      </c>
      <c r="AZ44">
        <f t="shared" si="6"/>
        <v>0.96291262434412717</v>
      </c>
      <c r="BA44">
        <f t="shared" si="31"/>
        <v>0.94792808955696239</v>
      </c>
      <c r="BB44">
        <f t="shared" si="32"/>
        <v>0.94935231199609038</v>
      </c>
      <c r="BC44">
        <f t="shared" si="33"/>
        <v>0.94936663427569812</v>
      </c>
      <c r="BD44">
        <f t="shared" si="34"/>
        <v>0.92526364738851341</v>
      </c>
      <c r="BE44">
        <f t="shared" si="35"/>
        <v>0.79418574586593305</v>
      </c>
      <c r="BF44">
        <f t="shared" si="36"/>
        <v>0.78442389478629271</v>
      </c>
      <c r="BG44">
        <f t="shared" si="18"/>
        <v>0.92854446482916997</v>
      </c>
      <c r="BL44" s="11">
        <v>0.2</v>
      </c>
      <c r="BM44" s="12">
        <f t="shared" si="22"/>
        <v>0.89449825890665391</v>
      </c>
      <c r="BN44" s="13">
        <f t="shared" si="37"/>
        <v>0.86041651874504321</v>
      </c>
      <c r="BO44" s="13">
        <f t="shared" si="38"/>
        <v>0.87044373618979365</v>
      </c>
      <c r="BP44" s="13">
        <f t="shared" si="39"/>
        <v>0.8704703103637571</v>
      </c>
      <c r="BQ44" s="13">
        <f t="shared" si="40"/>
        <v>0.81968241565380029</v>
      </c>
      <c r="BR44" s="13">
        <f t="shared" si="41"/>
        <v>0.55531651472028198</v>
      </c>
      <c r="BS44" s="13">
        <f t="shared" si="42"/>
        <v>0.50353529733465463</v>
      </c>
      <c r="BT44" s="4">
        <f t="shared" ref="BT44:BT49" si="49">($BJ$3*AW44)+($BJ$4*BG44)+($BJ$5*AA44)+($BJ$6*AJ44)</f>
        <v>0.81294675493486568</v>
      </c>
      <c r="BV44" t="s">
        <v>2</v>
      </c>
      <c r="BW44" s="2">
        <f t="shared" si="14"/>
        <v>0.89449825890665391</v>
      </c>
      <c r="CB44" s="11">
        <v>0.2</v>
      </c>
      <c r="CC44" s="12">
        <v>0.89449825890665391</v>
      </c>
      <c r="CD44" s="13">
        <v>0.86041651874504321</v>
      </c>
      <c r="CE44" s="13">
        <v>0.87044373618979365</v>
      </c>
      <c r="CF44" s="13">
        <v>0.8704703103637571</v>
      </c>
      <c r="CG44" s="13">
        <v>0.81968241565380029</v>
      </c>
      <c r="CH44" s="13">
        <v>0.55531651472028198</v>
      </c>
      <c r="CI44" s="13">
        <v>0.50353529733465463</v>
      </c>
      <c r="CJ44" s="14" t="s">
        <v>24</v>
      </c>
    </row>
    <row r="45" spans="1:88" x14ac:dyDescent="0.3">
      <c r="A45">
        <v>0.5</v>
      </c>
      <c r="B45">
        <v>1.44614555300952</v>
      </c>
      <c r="C45">
        <v>1.4719527032435</v>
      </c>
      <c r="D45">
        <v>1.7949832327784201</v>
      </c>
      <c r="E45">
        <v>1.79466281357635</v>
      </c>
      <c r="F45">
        <v>1.4699538496321101</v>
      </c>
      <c r="G45">
        <v>1.7949832327784201</v>
      </c>
      <c r="H45">
        <v>1.7949832327784201</v>
      </c>
      <c r="I45">
        <v>1.68301114109241</v>
      </c>
      <c r="J45">
        <v>0.5</v>
      </c>
      <c r="K45">
        <v>4.08135841197352</v>
      </c>
      <c r="L45">
        <v>4.1265364910440496</v>
      </c>
      <c r="M45">
        <v>6.8880969552238698</v>
      </c>
      <c r="N45">
        <v>6.8836116331802302</v>
      </c>
      <c r="O45">
        <v>4.0817232066889702</v>
      </c>
      <c r="P45">
        <v>6.8880969552238698</v>
      </c>
      <c r="Q45">
        <v>6.8880969552238698</v>
      </c>
      <c r="R45">
        <v>6.4267946824512503</v>
      </c>
      <c r="S45">
        <v>0.5</v>
      </c>
      <c r="T45">
        <v>0.95585000177505197</v>
      </c>
      <c r="U45">
        <v>0.94716680167823197</v>
      </c>
      <c r="V45">
        <v>0.93453894245120395</v>
      </c>
      <c r="W45">
        <v>0.93456128860505305</v>
      </c>
      <c r="X45">
        <v>0.93842049498327995</v>
      </c>
      <c r="Y45">
        <v>0.93453894245120395</v>
      </c>
      <c r="Z45">
        <v>0.93453894245120395</v>
      </c>
      <c r="AA45">
        <v>0.81020283601792398</v>
      </c>
      <c r="AB45">
        <v>0.5</v>
      </c>
      <c r="AC45">
        <v>-1.15158606858157</v>
      </c>
      <c r="AD45">
        <v>-1.3516087803776</v>
      </c>
      <c r="AE45">
        <v>-2.68270064781861</v>
      </c>
      <c r="AF45">
        <v>-2.68167290169345</v>
      </c>
      <c r="AG45">
        <v>-1.0472753868896401</v>
      </c>
      <c r="AH45">
        <v>-2.68270064781861</v>
      </c>
      <c r="AI45">
        <v>-2.68270064781861</v>
      </c>
      <c r="AJ45">
        <v>-0.72888402761293403</v>
      </c>
      <c r="AO45">
        <v>0.5</v>
      </c>
      <c r="AP45">
        <f t="shared" si="4"/>
        <v>0.35067175674574713</v>
      </c>
      <c r="AQ45">
        <f t="shared" si="25"/>
        <v>0.33908418764528159</v>
      </c>
      <c r="AR45">
        <f t="shared" si="26"/>
        <v>0.19404149410458515</v>
      </c>
      <c r="AS45">
        <f t="shared" si="27"/>
        <v>0.19418536429604139</v>
      </c>
      <c r="AT45">
        <f t="shared" si="28"/>
        <v>0.33998168520443472</v>
      </c>
      <c r="AU45">
        <f t="shared" si="29"/>
        <v>0.19404149410458515</v>
      </c>
      <c r="AV45">
        <f t="shared" si="30"/>
        <v>0.19404149410458515</v>
      </c>
      <c r="AW45">
        <f t="shared" si="16"/>
        <v>0.24431765160247598</v>
      </c>
      <c r="AY45">
        <v>0.5</v>
      </c>
      <c r="AZ45">
        <f t="shared" si="6"/>
        <v>0.62598584424622095</v>
      </c>
      <c r="BA45">
        <f t="shared" si="31"/>
        <v>0.62184574200659171</v>
      </c>
      <c r="BB45">
        <f t="shared" si="32"/>
        <v>0.36877737571386171</v>
      </c>
      <c r="BC45">
        <f t="shared" si="33"/>
        <v>0.36918840894547256</v>
      </c>
      <c r="BD45">
        <f t="shared" si="34"/>
        <v>0.62595241459517093</v>
      </c>
      <c r="BE45">
        <f t="shared" si="35"/>
        <v>0.36877737571386171</v>
      </c>
      <c r="BF45">
        <f t="shared" si="36"/>
        <v>0.36877737571386171</v>
      </c>
      <c r="BG45">
        <f t="shared" si="18"/>
        <v>0.41105094315949142</v>
      </c>
      <c r="BL45" s="9">
        <v>0.5</v>
      </c>
      <c r="BM45" s="7">
        <f t="shared" si="22"/>
        <v>0.19523038354636252</v>
      </c>
      <c r="BN45" s="3">
        <f t="shared" si="37"/>
        <v>0.13912198773812634</v>
      </c>
      <c r="BO45" s="3">
        <f t="shared" si="38"/>
        <v>-0.29633570888723981</v>
      </c>
      <c r="BP45" s="3">
        <f t="shared" si="39"/>
        <v>-0.29593445996172074</v>
      </c>
      <c r="BQ45" s="3">
        <f t="shared" si="40"/>
        <v>0.21426980197331141</v>
      </c>
      <c r="BR45" s="3">
        <f t="shared" si="41"/>
        <v>-0.29633570888723981</v>
      </c>
      <c r="BS45" s="3">
        <f t="shared" ref="BS45:BS49" si="50">($BJ$3*AV45)+($BJ$4*BF45)+($BJ$5*Z45)+($BJ$6*AI45)</f>
        <v>-0.29633570888723981</v>
      </c>
      <c r="BT45" s="4">
        <f t="shared" si="49"/>
        <v>0.18417185079173937</v>
      </c>
      <c r="BV45" t="s">
        <v>6</v>
      </c>
      <c r="BW45" s="2">
        <f t="shared" si="14"/>
        <v>0.21426980197331141</v>
      </c>
      <c r="CB45" s="9">
        <v>0.5</v>
      </c>
      <c r="CC45" s="7">
        <v>0.19523038354636252</v>
      </c>
      <c r="CD45" s="3">
        <v>0.13912198773812634</v>
      </c>
      <c r="CE45" s="3">
        <v>-0.29633570888723981</v>
      </c>
      <c r="CF45" s="3">
        <v>-0.29593445996172074</v>
      </c>
      <c r="CG45" s="3">
        <v>0.21426980197331141</v>
      </c>
      <c r="CH45" s="3">
        <v>-0.29633570888723981</v>
      </c>
      <c r="CI45" s="3">
        <v>-0.29633570888723981</v>
      </c>
      <c r="CJ45" s="4">
        <v>0.18417185079173937</v>
      </c>
    </row>
    <row r="46" spans="1:88" x14ac:dyDescent="0.3">
      <c r="A46">
        <v>1</v>
      </c>
      <c r="B46">
        <v>2.2043747533870701</v>
      </c>
      <c r="C46">
        <v>2.2881606508317698</v>
      </c>
      <c r="D46">
        <v>2.5166408828789102</v>
      </c>
      <c r="E46">
        <v>2.5152555773966601</v>
      </c>
      <c r="F46">
        <v>2.2862955920768</v>
      </c>
      <c r="G46">
        <v>2.68790285532102</v>
      </c>
      <c r="H46">
        <v>2.71091590383182</v>
      </c>
      <c r="I46">
        <v>2.61323121593799</v>
      </c>
      <c r="J46">
        <v>1</v>
      </c>
      <c r="K46">
        <v>8.9594598809809494</v>
      </c>
      <c r="L46">
        <v>9.5298808269593192</v>
      </c>
      <c r="M46">
        <v>12.643353352682499</v>
      </c>
      <c r="N46">
        <v>12.619426837730799</v>
      </c>
      <c r="O46">
        <v>9.5216544952677094</v>
      </c>
      <c r="P46">
        <v>14.925890397830599</v>
      </c>
      <c r="Q46">
        <v>15.043529663784099</v>
      </c>
      <c r="R46">
        <v>13.727696899236999</v>
      </c>
      <c r="S46">
        <v>1</v>
      </c>
      <c r="T46">
        <v>0.90306637883724905</v>
      </c>
      <c r="U46">
        <v>0.88641534453781401</v>
      </c>
      <c r="V46">
        <v>0.88803349516270902</v>
      </c>
      <c r="W46">
        <v>0.88813514878334598</v>
      </c>
      <c r="X46">
        <v>0.87823295281233105</v>
      </c>
      <c r="Y46">
        <v>0.880651380826736</v>
      </c>
      <c r="Z46">
        <v>0.87761135082749497</v>
      </c>
      <c r="AA46">
        <v>0.72415501017318595</v>
      </c>
      <c r="AB46">
        <v>1</v>
      </c>
      <c r="AC46">
        <v>-4.75140955393588</v>
      </c>
      <c r="AD46">
        <v>-5.26562142239752</v>
      </c>
      <c r="AE46">
        <v>-6.0189516045147604</v>
      </c>
      <c r="AF46">
        <v>-6.0057053025505498</v>
      </c>
      <c r="AG46">
        <v>-4.28389817130879</v>
      </c>
      <c r="AH46">
        <v>-6.9659255790090597</v>
      </c>
      <c r="AI46">
        <v>-7.5365832987922596</v>
      </c>
      <c r="AJ46">
        <v>-2.80450278830084</v>
      </c>
      <c r="AO46">
        <v>1</v>
      </c>
      <c r="AP46">
        <f t="shared" si="4"/>
        <v>1.0222184681136004E-2</v>
      </c>
      <c r="AQ46">
        <f t="shared" si="25"/>
        <v>-2.7398198332198032E-2</v>
      </c>
      <c r="AR46">
        <f t="shared" si="26"/>
        <v>-0.12998722706775645</v>
      </c>
      <c r="AS46">
        <f t="shared" si="27"/>
        <v>-0.12936521639027787</v>
      </c>
      <c r="AT46">
        <f t="shared" si="28"/>
        <v>-2.6560775486060395E-2</v>
      </c>
      <c r="AU46">
        <f t="shared" si="29"/>
        <v>-0.20688490550037919</v>
      </c>
      <c r="AV46">
        <f t="shared" si="30"/>
        <v>-0.21721790575083477</v>
      </c>
      <c r="AW46">
        <f t="shared" si="16"/>
        <v>-0.1733568803852068</v>
      </c>
      <c r="AY46">
        <v>1</v>
      </c>
      <c r="AZ46">
        <f t="shared" si="6"/>
        <v>0.17895845325316551</v>
      </c>
      <c r="BA46">
        <f t="shared" si="31"/>
        <v>0.12668529147730234</v>
      </c>
      <c r="BB46">
        <f t="shared" si="32"/>
        <v>-0.15863216428808391</v>
      </c>
      <c r="BC46">
        <f t="shared" si="33"/>
        <v>-0.15643954742220489</v>
      </c>
      <c r="BD46">
        <f t="shared" si="34"/>
        <v>0.12743914943144852</v>
      </c>
      <c r="BE46">
        <f t="shared" si="35"/>
        <v>-0.36780300393139487</v>
      </c>
      <c r="BF46">
        <f t="shared" si="36"/>
        <v>-0.37858342218871166</v>
      </c>
      <c r="BG46">
        <f t="shared" si="18"/>
        <v>-0.2580010006347877</v>
      </c>
      <c r="BL46" s="9">
        <v>1</v>
      </c>
      <c r="BM46" s="7">
        <f t="shared" si="22"/>
        <v>-0.91479063429108232</v>
      </c>
      <c r="BN46" s="3">
        <f t="shared" si="37"/>
        <v>-1.0699797461786504</v>
      </c>
      <c r="BO46" s="3">
        <f t="shared" si="38"/>
        <v>-1.354884375176973</v>
      </c>
      <c r="BP46" s="3">
        <f t="shared" si="39"/>
        <v>-1.3508437293949216</v>
      </c>
      <c r="BQ46" s="3">
        <f t="shared" si="40"/>
        <v>-0.82619671113776771</v>
      </c>
      <c r="BR46" s="3">
        <f t="shared" si="41"/>
        <v>-1.6649905269035243</v>
      </c>
      <c r="BS46" s="3">
        <f t="shared" si="50"/>
        <v>-1.8136933189760778</v>
      </c>
      <c r="BT46" s="4">
        <f t="shared" si="49"/>
        <v>-0.62792641478691213</v>
      </c>
      <c r="BV46" t="s">
        <v>6</v>
      </c>
      <c r="BW46" s="2">
        <f t="shared" si="14"/>
        <v>-0.82619671113776771</v>
      </c>
      <c r="CB46" s="9">
        <v>1</v>
      </c>
      <c r="CC46" s="7">
        <v>-0.91479063429108232</v>
      </c>
      <c r="CD46" s="3">
        <v>-1.0699797461786504</v>
      </c>
      <c r="CE46" s="3">
        <v>-1.354884375176973</v>
      </c>
      <c r="CF46" s="3">
        <v>-1.3508437293949216</v>
      </c>
      <c r="CG46" s="3">
        <v>-0.82619671113776771</v>
      </c>
      <c r="CH46" s="3">
        <v>-1.6649905269035243</v>
      </c>
      <c r="CI46" s="3">
        <v>-1.8136933189760778</v>
      </c>
      <c r="CJ46" s="4">
        <v>-0.62792641478691213</v>
      </c>
    </row>
    <row r="47" spans="1:88" x14ac:dyDescent="0.3">
      <c r="A47">
        <v>1.5</v>
      </c>
      <c r="B47">
        <v>2.8905673493217998</v>
      </c>
      <c r="C47">
        <v>2.9801889905641801</v>
      </c>
      <c r="D47">
        <v>3.3652386869552702</v>
      </c>
      <c r="E47">
        <v>3.36022212042417</v>
      </c>
      <c r="F47">
        <v>3.0502767263883199</v>
      </c>
      <c r="G47">
        <v>3.3652386869552702</v>
      </c>
      <c r="H47">
        <v>3.3652386869552702</v>
      </c>
      <c r="I47">
        <v>3.4685788474021999</v>
      </c>
      <c r="J47">
        <v>1.5</v>
      </c>
      <c r="K47">
        <v>14.554149955769599</v>
      </c>
      <c r="L47">
        <v>15.4177377159426</v>
      </c>
      <c r="M47">
        <v>23.475666404706601</v>
      </c>
      <c r="N47">
        <v>23.3188969572922</v>
      </c>
      <c r="O47">
        <v>16.071868408323201</v>
      </c>
      <c r="P47">
        <v>23.475666404706601</v>
      </c>
      <c r="Q47">
        <v>23.475666404706601</v>
      </c>
      <c r="R47">
        <v>21.579922278672601</v>
      </c>
      <c r="S47">
        <v>1.5</v>
      </c>
      <c r="T47">
        <v>0.847597589148813</v>
      </c>
      <c r="U47">
        <v>0.84093903499115397</v>
      </c>
      <c r="V47">
        <v>0.82508451249273795</v>
      </c>
      <c r="W47">
        <v>0.82531954895409898</v>
      </c>
      <c r="X47">
        <v>0.84456646155924897</v>
      </c>
      <c r="Y47">
        <v>0.82508451249273795</v>
      </c>
      <c r="Z47">
        <v>0.82508451249273795</v>
      </c>
      <c r="AA47">
        <v>0.672644646239554</v>
      </c>
      <c r="AB47">
        <v>1.5</v>
      </c>
      <c r="AC47">
        <v>-8.9769759406329896</v>
      </c>
      <c r="AD47">
        <v>-10.045331136229599</v>
      </c>
      <c r="AE47">
        <v>-12.663833548373001</v>
      </c>
      <c r="AF47">
        <v>-12.5758144134224</v>
      </c>
      <c r="AG47">
        <v>-7.37279885137142</v>
      </c>
      <c r="AH47">
        <v>-12.663833548373001</v>
      </c>
      <c r="AI47">
        <v>-12.663833548373001</v>
      </c>
      <c r="AJ47">
        <v>-6.7147249205522597</v>
      </c>
      <c r="AO47">
        <v>1.5</v>
      </c>
      <c r="AP47">
        <f t="shared" si="4"/>
        <v>-0.29788250915492087</v>
      </c>
      <c r="AQ47">
        <f t="shared" si="25"/>
        <v>-0.33812317700773331</v>
      </c>
      <c r="AR47">
        <f t="shared" si="26"/>
        <v>-0.51101285771995131</v>
      </c>
      <c r="AS47">
        <f t="shared" si="27"/>
        <v>-0.50876038850893135</v>
      </c>
      <c r="AT47">
        <f t="shared" si="28"/>
        <v>-0.3695930012461357</v>
      </c>
      <c r="AU47">
        <f t="shared" si="29"/>
        <v>-0.51101285771995131</v>
      </c>
      <c r="AV47">
        <f t="shared" si="30"/>
        <v>-0.51101285771995131</v>
      </c>
      <c r="AW47">
        <f t="shared" si="16"/>
        <v>-0.55741322502805168</v>
      </c>
      <c r="AY47">
        <v>1.5</v>
      </c>
      <c r="AZ47">
        <f t="shared" si="6"/>
        <v>-0.33373684909699231</v>
      </c>
      <c r="BA47">
        <f t="shared" si="31"/>
        <v>-0.41287570788793571</v>
      </c>
      <c r="BB47">
        <f t="shared" si="32"/>
        <v>-1.1513012739471846</v>
      </c>
      <c r="BC47">
        <f t="shared" si="33"/>
        <v>-1.1369349805212829</v>
      </c>
      <c r="BD47">
        <f t="shared" si="34"/>
        <v>-0.47281999946145237</v>
      </c>
      <c r="BE47">
        <f t="shared" si="35"/>
        <v>-1.1513012739471846</v>
      </c>
      <c r="BF47">
        <f t="shared" si="36"/>
        <v>-1.1513012739471846</v>
      </c>
      <c r="BG47">
        <f t="shared" si="18"/>
        <v>-0.97757599249586957</v>
      </c>
      <c r="BL47" s="9">
        <v>1.5</v>
      </c>
      <c r="BM47" s="7">
        <f t="shared" si="22"/>
        <v>-2.1902494274340225</v>
      </c>
      <c r="BN47" s="3">
        <f t="shared" si="37"/>
        <v>-2.4888477465335286</v>
      </c>
      <c r="BO47" s="3">
        <f t="shared" si="38"/>
        <v>-3.3752657918868496</v>
      </c>
      <c r="BP47" s="3">
        <f t="shared" si="39"/>
        <v>-3.3490475583746289</v>
      </c>
      <c r="BQ47" s="3">
        <f t="shared" si="40"/>
        <v>-1.8426613476299398</v>
      </c>
      <c r="BR47" s="3">
        <f t="shared" si="41"/>
        <v>-3.3752657918868496</v>
      </c>
      <c r="BS47" s="3">
        <f t="shared" si="50"/>
        <v>-3.3752657918868496</v>
      </c>
      <c r="BT47" s="4">
        <f t="shared" si="49"/>
        <v>-1.8942673729591568</v>
      </c>
      <c r="BV47" t="s">
        <v>6</v>
      </c>
      <c r="BW47" s="2">
        <f t="shared" si="14"/>
        <v>-1.8426613476299398</v>
      </c>
      <c r="CB47" s="9">
        <v>1.5</v>
      </c>
      <c r="CC47" s="7">
        <v>-2.1902494274340225</v>
      </c>
      <c r="CD47" s="3">
        <v>-2.4888477465335286</v>
      </c>
      <c r="CE47" s="3">
        <v>-3.3752657918868496</v>
      </c>
      <c r="CF47" s="3">
        <v>-3.3490475583746289</v>
      </c>
      <c r="CG47" s="3">
        <v>-1.8426613476299398</v>
      </c>
      <c r="CH47" s="3">
        <v>-3.3752657918868496</v>
      </c>
      <c r="CI47" s="3">
        <v>-3.3752657918868496</v>
      </c>
      <c r="CJ47" s="4">
        <v>-1.8942673729591568</v>
      </c>
    </row>
    <row r="48" spans="1:88" x14ac:dyDescent="0.3">
      <c r="A48">
        <v>2</v>
      </c>
      <c r="B48">
        <v>3.7228109739336399</v>
      </c>
      <c r="C48">
        <v>3.72747495497631</v>
      </c>
      <c r="D48">
        <v>4.4502171080958099</v>
      </c>
      <c r="E48">
        <v>4.4422569472407503</v>
      </c>
      <c r="F48">
        <v>3.6270986794682298</v>
      </c>
      <c r="G48">
        <v>4.5656577516676702</v>
      </c>
      <c r="H48">
        <v>4.6062695582793598</v>
      </c>
      <c r="I48">
        <v>4.3912433588470403</v>
      </c>
      <c r="J48">
        <v>2</v>
      </c>
      <c r="K48">
        <v>25.584856275144901</v>
      </c>
      <c r="L48">
        <v>26.079781398104199</v>
      </c>
      <c r="M48">
        <v>39.974267347028501</v>
      </c>
      <c r="N48">
        <v>39.758762456640397</v>
      </c>
      <c r="O48">
        <v>26.2856848216732</v>
      </c>
      <c r="P48">
        <v>42.081521651000401</v>
      </c>
      <c r="Q48">
        <v>43.0593541947269</v>
      </c>
      <c r="R48">
        <v>35.281129243671998</v>
      </c>
      <c r="S48">
        <v>2</v>
      </c>
      <c r="T48">
        <v>0.79838124960505596</v>
      </c>
      <c r="U48">
        <v>0.78470326040020999</v>
      </c>
      <c r="V48">
        <v>0.77695419633110796</v>
      </c>
      <c r="W48">
        <v>0.777361253335352</v>
      </c>
      <c r="X48">
        <v>0.799061190949373</v>
      </c>
      <c r="Y48">
        <v>0.77012381322013201</v>
      </c>
      <c r="Z48">
        <v>0.76609342568609096</v>
      </c>
      <c r="AA48">
        <v>0.66699751834806797</v>
      </c>
      <c r="AB48">
        <v>2</v>
      </c>
      <c r="AC48">
        <v>-15.7020678185887</v>
      </c>
      <c r="AD48">
        <v>-18.335437711427002</v>
      </c>
      <c r="AE48">
        <v>-13.820898198908401</v>
      </c>
      <c r="AF48">
        <v>-13.6958085027289</v>
      </c>
      <c r="AG48">
        <v>-9.0420656927622094</v>
      </c>
      <c r="AH48">
        <v>-14.278551247574301</v>
      </c>
      <c r="AI48">
        <v>-14.6432234104225</v>
      </c>
      <c r="AJ48">
        <v>-12.5505920357273</v>
      </c>
      <c r="AO48">
        <v>2</v>
      </c>
      <c r="AP48">
        <f t="shared" si="4"/>
        <v>-0.67156501269279301</v>
      </c>
      <c r="AQ48">
        <f t="shared" si="25"/>
        <v>-0.67365916885204391</v>
      </c>
      <c r="AR48">
        <f t="shared" si="26"/>
        <v>-0.99817483854673328</v>
      </c>
      <c r="AS48">
        <f t="shared" si="27"/>
        <v>-0.99460067738897107</v>
      </c>
      <c r="AT48">
        <f t="shared" si="28"/>
        <v>-0.62858960410150488</v>
      </c>
      <c r="AU48">
        <f t="shared" si="29"/>
        <v>-1.0500083971637495</v>
      </c>
      <c r="AV48">
        <f t="shared" si="30"/>
        <v>-1.0682433479871096</v>
      </c>
      <c r="AW48">
        <f t="shared" si="16"/>
        <v>-0.97169526260216132</v>
      </c>
      <c r="AY48">
        <v>2</v>
      </c>
      <c r="AZ48">
        <f t="shared" si="6"/>
        <v>-1.3445866434462457</v>
      </c>
      <c r="BA48">
        <f t="shared" si="31"/>
        <v>-1.3899413962858644</v>
      </c>
      <c r="BB48">
        <f t="shared" si="32"/>
        <v>-2.6632268829449037</v>
      </c>
      <c r="BC48">
        <f t="shared" si="33"/>
        <v>-2.6434780955306802</v>
      </c>
      <c r="BD48">
        <f t="shared" si="34"/>
        <v>-1.4088103088780652</v>
      </c>
      <c r="BE48">
        <f t="shared" si="35"/>
        <v>-2.8563348778581621</v>
      </c>
      <c r="BF48">
        <f t="shared" si="36"/>
        <v>-2.9459430858110611</v>
      </c>
      <c r="BG48">
        <f t="shared" si="18"/>
        <v>-2.2331494654818274</v>
      </c>
      <c r="BL48" s="9">
        <v>2</v>
      </c>
      <c r="BM48" s="7">
        <f t="shared" si="22"/>
        <v>-4.2299595562806704</v>
      </c>
      <c r="BN48" s="3">
        <f t="shared" si="37"/>
        <v>-4.9035837540411746</v>
      </c>
      <c r="BO48" s="3">
        <f t="shared" si="38"/>
        <v>-4.1763364310172326</v>
      </c>
      <c r="BP48" s="3">
        <f t="shared" si="39"/>
        <v>-4.1391315055783</v>
      </c>
      <c r="BQ48" s="3">
        <f t="shared" si="40"/>
        <v>-2.5701011036981014</v>
      </c>
      <c r="BR48" s="3">
        <f t="shared" si="41"/>
        <v>-4.3536926773440197</v>
      </c>
      <c r="BS48" s="3">
        <f t="shared" si="50"/>
        <v>-4.4728291046336448</v>
      </c>
      <c r="BT48" s="4">
        <f t="shared" si="49"/>
        <v>-3.7721098113658051</v>
      </c>
      <c r="BV48" t="s">
        <v>6</v>
      </c>
      <c r="BW48" s="2">
        <f t="shared" si="14"/>
        <v>-2.5701011036981014</v>
      </c>
      <c r="CB48" s="9">
        <v>2</v>
      </c>
      <c r="CC48" s="7">
        <v>-4.2299595562806704</v>
      </c>
      <c r="CD48" s="3">
        <v>-4.9035837540411746</v>
      </c>
      <c r="CE48" s="3">
        <v>-4.1763364310172326</v>
      </c>
      <c r="CF48" s="3">
        <v>-4.1391315055783</v>
      </c>
      <c r="CG48" s="3">
        <v>-2.5701011036981014</v>
      </c>
      <c r="CH48" s="3">
        <v>-4.3536926773440197</v>
      </c>
      <c r="CI48" s="3">
        <v>-4.4728291046336448</v>
      </c>
      <c r="CJ48" s="4">
        <v>-3.7721098113658051</v>
      </c>
    </row>
    <row r="49" spans="1:88" ht="15" thickBot="1" x14ac:dyDescent="0.35">
      <c r="A49">
        <v>2.5</v>
      </c>
      <c r="B49">
        <v>3.3379729158020699</v>
      </c>
      <c r="C49">
        <v>3.5609562182761398</v>
      </c>
      <c r="D49">
        <v>3.9263036366131998</v>
      </c>
      <c r="E49">
        <v>3.90496155656695</v>
      </c>
      <c r="F49">
        <v>3.5810826470433499</v>
      </c>
      <c r="G49">
        <v>3.9263036366131998</v>
      </c>
      <c r="H49">
        <v>3.9263036366131998</v>
      </c>
      <c r="I49">
        <v>4.1214337149085596</v>
      </c>
      <c r="J49">
        <v>2.5</v>
      </c>
      <c r="K49">
        <v>20.0925948818834</v>
      </c>
      <c r="L49">
        <v>22.458345846767799</v>
      </c>
      <c r="M49">
        <v>33.5562350499928</v>
      </c>
      <c r="N49">
        <v>33.117063722727899</v>
      </c>
      <c r="O49">
        <v>22.6277838286464</v>
      </c>
      <c r="P49">
        <v>33.5562350499928</v>
      </c>
      <c r="Q49">
        <v>33.5562350499928</v>
      </c>
      <c r="R49">
        <v>30.7459866504784</v>
      </c>
      <c r="S49">
        <v>2.5</v>
      </c>
      <c r="T49">
        <v>0.79899572984836198</v>
      </c>
      <c r="U49">
        <v>0.79206011851556202</v>
      </c>
      <c r="V49">
        <v>0.76450389409044905</v>
      </c>
      <c r="W49">
        <v>0.76513966088715202</v>
      </c>
      <c r="X49">
        <v>0.80634225795006698</v>
      </c>
      <c r="Y49">
        <v>0.76450389409044905</v>
      </c>
      <c r="Z49">
        <v>0.76450389409044905</v>
      </c>
      <c r="AA49">
        <v>0.70067843635702998</v>
      </c>
      <c r="AB49">
        <v>2.5</v>
      </c>
      <c r="AC49">
        <v>-11.513189203910599</v>
      </c>
      <c r="AD49">
        <v>-13.168334936153199</v>
      </c>
      <c r="AE49">
        <v>-13.075046888888901</v>
      </c>
      <c r="AF49">
        <v>-12.931419771131299</v>
      </c>
      <c r="AG49">
        <v>-10.7142458503286</v>
      </c>
      <c r="AH49">
        <v>-13.075046888888901</v>
      </c>
      <c r="AI49">
        <v>-13.075046888888901</v>
      </c>
      <c r="AJ49">
        <v>-14.504813992249</v>
      </c>
      <c r="AO49">
        <v>2.5</v>
      </c>
      <c r="AP49">
        <f t="shared" si="4"/>
        <v>-0.49877035886011245</v>
      </c>
      <c r="AQ49">
        <f t="shared" si="25"/>
        <v>-0.59889123242584996</v>
      </c>
      <c r="AR49">
        <f t="shared" si="26"/>
        <v>-0.76293446917514407</v>
      </c>
      <c r="AS49">
        <f t="shared" si="27"/>
        <v>-0.75335174403728811</v>
      </c>
      <c r="AT49">
        <f t="shared" si="28"/>
        <v>-0.60792812266639151</v>
      </c>
      <c r="AU49">
        <f t="shared" si="29"/>
        <v>-0.76293446917514407</v>
      </c>
      <c r="AV49">
        <f t="shared" si="30"/>
        <v>-0.76293446917514407</v>
      </c>
      <c r="AW49">
        <f t="shared" si="16"/>
        <v>-0.85054907386131351</v>
      </c>
      <c r="AY49">
        <v>2.5</v>
      </c>
      <c r="AZ49">
        <f t="shared" si="6"/>
        <v>-0.8412778670953629</v>
      </c>
      <c r="BA49">
        <f t="shared" si="31"/>
        <v>-1.0580743991664274</v>
      </c>
      <c r="BB49">
        <f t="shared" si="32"/>
        <v>-2.0750808078209655</v>
      </c>
      <c r="BC49">
        <f t="shared" si="33"/>
        <v>-2.0348353119300953</v>
      </c>
      <c r="BD49">
        <f t="shared" si="34"/>
        <v>-1.0736016323442423</v>
      </c>
      <c r="BE49">
        <f t="shared" si="35"/>
        <v>-2.0750808078209655</v>
      </c>
      <c r="BF49">
        <f t="shared" si="36"/>
        <v>-2.0750808078209655</v>
      </c>
      <c r="BG49">
        <f t="shared" si="18"/>
        <v>-1.8175506973755695</v>
      </c>
      <c r="BL49" s="10">
        <v>2.5</v>
      </c>
      <c r="BM49" s="8">
        <f t="shared" si="22"/>
        <v>-3.0135604250044281</v>
      </c>
      <c r="BN49" s="5">
        <f t="shared" si="37"/>
        <v>-3.5083101123074787</v>
      </c>
      <c r="BO49" s="5">
        <f t="shared" si="38"/>
        <v>-3.7871395679486404</v>
      </c>
      <c r="BP49" s="5">
        <f t="shared" si="39"/>
        <v>-3.7386167915528827</v>
      </c>
      <c r="BQ49" s="5">
        <f t="shared" si="40"/>
        <v>-2.8973583368472919</v>
      </c>
      <c r="BR49" s="5">
        <f t="shared" si="41"/>
        <v>-3.7871395679486404</v>
      </c>
      <c r="BS49" s="5">
        <f t="shared" si="50"/>
        <v>-3.7871395679486404</v>
      </c>
      <c r="BT49" s="6">
        <f t="shared" si="49"/>
        <v>-4.1180588317822133</v>
      </c>
      <c r="BV49" t="s">
        <v>6</v>
      </c>
      <c r="BW49" s="2">
        <f t="shared" si="14"/>
        <v>-2.8973583368472919</v>
      </c>
      <c r="CB49" s="10">
        <v>2.5</v>
      </c>
      <c r="CC49" s="8">
        <v>-3.0135604250044281</v>
      </c>
      <c r="CD49" s="5">
        <v>-3.5083101123074787</v>
      </c>
      <c r="CE49" s="5">
        <v>-3.7871395679486404</v>
      </c>
      <c r="CF49" s="5">
        <v>-3.7386167915528827</v>
      </c>
      <c r="CG49" s="5">
        <v>-2.8973583368472919</v>
      </c>
      <c r="CH49" s="5">
        <v>-3.7871395679486404</v>
      </c>
      <c r="CI49" s="5">
        <v>-3.7871395679486404</v>
      </c>
      <c r="CJ49" s="6">
        <v>-4.1180588317822133</v>
      </c>
    </row>
  </sheetData>
  <conditionalFormatting sqref="B4:I9 B12:I17 B20:I25 B28:I33 B36:I41 B44:I49">
    <cfRule type="expression" dxfId="27" priority="53">
      <formula>B4 = MIN($B4:$H4)</formula>
    </cfRule>
  </conditionalFormatting>
  <conditionalFormatting sqref="BM4:BT9 BM12:BT17 BM20:BT25 BM28:BT33 BM36:BT41 BM44:BT49">
    <cfRule type="expression" dxfId="26" priority="21">
      <formula>BM4=LARGE($BM4:$BT4, 2)</formula>
    </cfRule>
    <cfRule type="expression" dxfId="25" priority="25">
      <formula>BM4 = MAX($BM4:$BT4)</formula>
    </cfRule>
  </conditionalFormatting>
  <conditionalFormatting sqref="BM4:BT9">
    <cfRule type="expression" dxfId="24" priority="22">
      <formula>BM4=_xludf.LARGE($BM4:$BT4,2 )</formula>
    </cfRule>
  </conditionalFormatting>
  <conditionalFormatting sqref="BM12:BT17 BM20:BT25 BM28:BT33 BM36:BT41 BM44:BT49 BM4:BT9">
    <cfRule type="expression" dxfId="23" priority="20">
      <formula>BM4=LARGE($BM4:$BT4, 3)</formula>
    </cfRule>
  </conditionalFormatting>
  <conditionalFormatting sqref="BM12:BT17">
    <cfRule type="expression" dxfId="22" priority="14">
      <formula>BM12=_xludf.LARGE($BM12:$BT12,2 )</formula>
    </cfRule>
  </conditionalFormatting>
  <conditionalFormatting sqref="BM20:BT25">
    <cfRule type="expression" dxfId="21" priority="13">
      <formula>BM20=_xludf.LARGE($BM20:$BT20,2 )</formula>
    </cfRule>
  </conditionalFormatting>
  <conditionalFormatting sqref="BM28:BT33">
    <cfRule type="expression" dxfId="20" priority="12">
      <formula>BM28=_xludf.LARGE($BM28:$BT28,2 )</formula>
    </cfRule>
  </conditionalFormatting>
  <conditionalFormatting sqref="BM36:BT41">
    <cfRule type="expression" dxfId="19" priority="11">
      <formula>BM36=_xludf.LARGE($BM36:$BT36,2 )</formula>
    </cfRule>
  </conditionalFormatting>
  <conditionalFormatting sqref="BM44:BT49">
    <cfRule type="expression" dxfId="18" priority="10">
      <formula>BM44=_xludf.LARGE($BM44:$BT44,2 )</formula>
    </cfRule>
  </conditionalFormatting>
  <conditionalFormatting sqref="CC4:CJ9 CC12:CJ17 CC20:CJ25 CC28:CJ33 CC36:CJ41 CC44:CJ49">
    <cfRule type="expression" dxfId="17" priority="7">
      <formula>CC4=LARGE($BM4:$BT4, 2)</formula>
    </cfRule>
    <cfRule type="expression" dxfId="16" priority="9">
      <formula>CC4 = MAX($BM4:$BT4)</formula>
    </cfRule>
  </conditionalFormatting>
  <conditionalFormatting sqref="CC4:CJ9">
    <cfRule type="expression" dxfId="15" priority="8">
      <formula>CC4=_xludf.LARGE($BM4:$BT4,2 )</formula>
    </cfRule>
  </conditionalFormatting>
  <conditionalFormatting sqref="CC12:CJ17 CC20:CJ25 CC28:CJ33 CC36:CJ41 CC44:CJ49 CC4:CJ9">
    <cfRule type="expression" dxfId="14" priority="6">
      <formula>CC4=LARGE($BM4:$BT4, 3)</formula>
    </cfRule>
  </conditionalFormatting>
  <conditionalFormatting sqref="CC12:CJ17">
    <cfRule type="expression" dxfId="13" priority="5">
      <formula>CC12=_xludf.LARGE($BM12:$BT12,2 )</formula>
    </cfRule>
  </conditionalFormatting>
  <conditionalFormatting sqref="CC20:CJ25">
    <cfRule type="expression" dxfId="12" priority="4">
      <formula>CC20=_xludf.LARGE($BM20:$BT20,2 )</formula>
    </cfRule>
  </conditionalFormatting>
  <conditionalFormatting sqref="CC28:CJ33">
    <cfRule type="expression" dxfId="11" priority="3">
      <formula>CC28=_xludf.LARGE($BM28:$BT28,2 )</formula>
    </cfRule>
  </conditionalFormatting>
  <conditionalFormatting sqref="CC36:CJ41">
    <cfRule type="expression" dxfId="10" priority="2">
      <formula>CC36=_xludf.LARGE($BM36:$BT36,2 )</formula>
    </cfRule>
  </conditionalFormatting>
  <conditionalFormatting sqref="CC44:CJ49">
    <cfRule type="expression" dxfId="9" priority="1">
      <formula>CC44=_xludf.LARGE($BM44:$BT44,2 )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MAE</vt:lpstr>
      <vt:lpstr>MSE</vt:lpstr>
      <vt:lpstr>KGE</vt:lpstr>
      <vt:lpstr>NSE</vt:lpstr>
      <vt:lpstr>Ponderado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Ser_Fondecyt</dc:creator>
  <cp:lastModifiedBy>Cristóbal Aboitiz Von Schultzendorff</cp:lastModifiedBy>
  <dcterms:created xsi:type="dcterms:W3CDTF">2025-05-23T15:33:16Z</dcterms:created>
  <dcterms:modified xsi:type="dcterms:W3CDTF">2026-07-12T23:33:08Z</dcterms:modified>
</cp:coreProperties>
</file>