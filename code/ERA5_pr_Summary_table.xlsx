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sers\crabo\Desktop\Paper version final\"/>
    </mc:Choice>
  </mc:AlternateContent>
  <xr:revisionPtr revIDLastSave="0" documentId="13_ncr:1_{3A5CF2AB-DAC4-4677-82C1-148B967AF45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E" sheetId="1" r:id="rId1"/>
    <sheet name="MSE" sheetId="2" r:id="rId2"/>
    <sheet name="KGE" sheetId="3" r:id="rId3"/>
    <sheet name="NSE" sheetId="4" r:id="rId4"/>
    <sheet name="Ponder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44" i="5" l="1"/>
  <c r="BR45" i="5"/>
  <c r="BR46" i="5"/>
  <c r="BR47" i="5"/>
  <c r="BR48" i="5"/>
  <c r="BR49" i="5"/>
  <c r="BR36" i="5"/>
  <c r="BR37" i="5"/>
  <c r="BR38" i="5"/>
  <c r="BR39" i="5"/>
  <c r="BR40" i="5"/>
  <c r="BR41" i="5"/>
  <c r="BR28" i="5"/>
  <c r="BR29" i="5"/>
  <c r="BR30" i="5"/>
  <c r="BR31" i="5"/>
  <c r="BR32" i="5"/>
  <c r="BR33" i="5"/>
  <c r="BR20" i="5"/>
  <c r="BR21" i="5"/>
  <c r="BR22" i="5"/>
  <c r="BR23" i="5"/>
  <c r="BR24" i="5"/>
  <c r="BR25" i="5"/>
  <c r="BR12" i="5"/>
  <c r="BR13" i="5"/>
  <c r="BR14" i="5"/>
  <c r="BR15" i="5"/>
  <c r="BR16" i="5"/>
  <c r="BR17" i="5"/>
  <c r="BE20" i="5"/>
  <c r="BE21" i="5"/>
  <c r="BE22" i="5"/>
  <c r="BE23" i="5"/>
  <c r="BE24" i="5"/>
  <c r="BE25" i="5"/>
  <c r="BD14" i="5"/>
  <c r="BE14" i="5"/>
  <c r="BD15" i="5"/>
  <c r="BE15" i="5"/>
  <c r="BD16" i="5"/>
  <c r="BE16" i="5"/>
  <c r="BD17" i="5"/>
  <c r="BE17" i="5"/>
  <c r="BE12" i="5"/>
  <c r="BE13" i="5"/>
  <c r="BD13" i="5"/>
  <c r="BD28" i="5"/>
  <c r="BE28" i="5"/>
  <c r="BD29" i="5"/>
  <c r="BE29" i="5"/>
  <c r="BD30" i="5"/>
  <c r="BE30" i="5"/>
  <c r="BD31" i="5"/>
  <c r="BE31" i="5"/>
  <c r="BD32" i="5"/>
  <c r="BE32" i="5"/>
  <c r="BE33" i="5"/>
  <c r="BD37" i="5"/>
  <c r="BE37" i="5"/>
  <c r="BD38" i="5"/>
  <c r="BE38" i="5"/>
  <c r="BD39" i="5"/>
  <c r="BE39" i="5"/>
  <c r="BD40" i="5"/>
  <c r="BE40" i="5"/>
  <c r="BD41" i="5"/>
  <c r="BE41" i="5"/>
  <c r="BE36" i="5"/>
  <c r="BE45" i="5"/>
  <c r="BE46" i="5"/>
  <c r="BE47" i="5"/>
  <c r="BE48" i="5"/>
  <c r="BE49" i="5"/>
  <c r="BE44" i="5"/>
  <c r="AV45" i="5"/>
  <c r="AV46" i="5"/>
  <c r="AV47" i="5"/>
  <c r="AV48" i="5"/>
  <c r="AV49" i="5"/>
  <c r="AV44" i="5"/>
  <c r="AV37" i="5"/>
  <c r="AV38" i="5"/>
  <c r="AV39" i="5"/>
  <c r="AV40" i="5"/>
  <c r="AV41" i="5"/>
  <c r="AV36" i="5"/>
  <c r="AV29" i="5"/>
  <c r="AV30" i="5"/>
  <c r="AV31" i="5"/>
  <c r="AV32" i="5"/>
  <c r="AV33" i="5"/>
  <c r="AV28" i="5"/>
  <c r="AV21" i="5"/>
  <c r="AV22" i="5"/>
  <c r="AV23" i="5"/>
  <c r="AV24" i="5"/>
  <c r="AV25" i="5"/>
  <c r="AV20" i="5"/>
  <c r="AV13" i="5"/>
  <c r="AV14" i="5"/>
  <c r="AV15" i="5"/>
  <c r="AV16" i="5"/>
  <c r="AV17" i="5"/>
  <c r="AV12" i="5"/>
  <c r="BR5" i="5"/>
  <c r="BR6" i="5"/>
  <c r="BR7" i="5"/>
  <c r="BR8" i="5"/>
  <c r="BR9" i="5"/>
  <c r="BR4" i="5"/>
  <c r="BE5" i="5"/>
  <c r="BE6" i="5"/>
  <c r="BE7" i="5"/>
  <c r="BE8" i="5"/>
  <c r="BE9" i="5"/>
  <c r="BE4" i="5"/>
  <c r="AV5" i="5"/>
  <c r="AV6" i="5"/>
  <c r="AV7" i="5"/>
  <c r="AV8" i="5"/>
  <c r="AV9" i="5"/>
  <c r="AV4" i="5"/>
  <c r="BD4" i="5"/>
  <c r="BD5" i="5"/>
  <c r="BD6" i="5"/>
  <c r="BD7" i="5"/>
  <c r="BD8" i="5"/>
  <c r="BD9" i="5"/>
  <c r="BD12" i="5"/>
  <c r="BD20" i="5"/>
  <c r="BD21" i="5"/>
  <c r="BD22" i="5"/>
  <c r="BD23" i="5"/>
  <c r="BD24" i="5"/>
  <c r="BD25" i="5"/>
  <c r="BD33" i="5"/>
  <c r="BD36" i="5"/>
  <c r="BD44" i="5"/>
  <c r="BD45" i="5"/>
  <c r="BD46" i="5"/>
  <c r="BD47" i="5"/>
  <c r="BD48" i="5"/>
  <c r="BD49" i="5"/>
  <c r="AY4" i="5"/>
  <c r="AZ4" i="5"/>
  <c r="BA4" i="5"/>
  <c r="BB4" i="5"/>
  <c r="BC4" i="5"/>
  <c r="AY5" i="5"/>
  <c r="AZ5" i="5"/>
  <c r="BA5" i="5"/>
  <c r="BB5" i="5"/>
  <c r="BC5" i="5"/>
  <c r="AY6" i="5"/>
  <c r="AZ6" i="5"/>
  <c r="BA6" i="5"/>
  <c r="BB6" i="5"/>
  <c r="BC6" i="5"/>
  <c r="AY7" i="5"/>
  <c r="AZ7" i="5"/>
  <c r="BA7" i="5"/>
  <c r="BB7" i="5"/>
  <c r="BC7" i="5"/>
  <c r="AY8" i="5"/>
  <c r="AZ8" i="5"/>
  <c r="BA8" i="5"/>
  <c r="BB8" i="5"/>
  <c r="BC8" i="5"/>
  <c r="AY9" i="5"/>
  <c r="AZ9" i="5"/>
  <c r="BA9" i="5"/>
  <c r="BB9" i="5"/>
  <c r="BC9" i="5"/>
  <c r="AY12" i="5"/>
  <c r="AZ12" i="5"/>
  <c r="BA12" i="5"/>
  <c r="BB12" i="5"/>
  <c r="BC12" i="5"/>
  <c r="AY13" i="5"/>
  <c r="AZ13" i="5"/>
  <c r="BA13" i="5"/>
  <c r="BB13" i="5"/>
  <c r="BC13" i="5"/>
  <c r="AY14" i="5"/>
  <c r="AZ14" i="5"/>
  <c r="BA14" i="5"/>
  <c r="BB14" i="5"/>
  <c r="BC14" i="5"/>
  <c r="AY15" i="5"/>
  <c r="AZ15" i="5"/>
  <c r="BA15" i="5"/>
  <c r="BB15" i="5"/>
  <c r="BC15" i="5"/>
  <c r="AY16" i="5"/>
  <c r="AZ16" i="5"/>
  <c r="BA16" i="5"/>
  <c r="BB16" i="5"/>
  <c r="BC16" i="5"/>
  <c r="AY17" i="5"/>
  <c r="AZ17" i="5"/>
  <c r="BA17" i="5"/>
  <c r="BB17" i="5"/>
  <c r="BC17" i="5"/>
  <c r="AY20" i="5"/>
  <c r="AZ20" i="5"/>
  <c r="BA20" i="5"/>
  <c r="BB20" i="5"/>
  <c r="BC20" i="5"/>
  <c r="AY21" i="5"/>
  <c r="AZ21" i="5"/>
  <c r="BA21" i="5"/>
  <c r="BB21" i="5"/>
  <c r="BC21" i="5"/>
  <c r="AY22" i="5"/>
  <c r="AZ22" i="5"/>
  <c r="BA22" i="5"/>
  <c r="BB22" i="5"/>
  <c r="BC22" i="5"/>
  <c r="AY23" i="5"/>
  <c r="AZ23" i="5"/>
  <c r="BA23" i="5"/>
  <c r="BB23" i="5"/>
  <c r="BC23" i="5"/>
  <c r="AY24" i="5"/>
  <c r="AZ24" i="5"/>
  <c r="BA24" i="5"/>
  <c r="BB24" i="5"/>
  <c r="BC24" i="5"/>
  <c r="AY25" i="5"/>
  <c r="AZ25" i="5"/>
  <c r="BA25" i="5"/>
  <c r="BB25" i="5"/>
  <c r="BC25" i="5"/>
  <c r="AY28" i="5"/>
  <c r="AZ28" i="5"/>
  <c r="BA28" i="5"/>
  <c r="BB28" i="5"/>
  <c r="BC28" i="5"/>
  <c r="AY29" i="5"/>
  <c r="AZ29" i="5"/>
  <c r="BA29" i="5"/>
  <c r="BB29" i="5"/>
  <c r="BC29" i="5"/>
  <c r="AY30" i="5"/>
  <c r="AZ30" i="5"/>
  <c r="BA30" i="5"/>
  <c r="BB30" i="5"/>
  <c r="BC30" i="5"/>
  <c r="AY31" i="5"/>
  <c r="AZ31" i="5"/>
  <c r="BA31" i="5"/>
  <c r="BB31" i="5"/>
  <c r="BC31" i="5"/>
  <c r="AY32" i="5"/>
  <c r="AZ32" i="5"/>
  <c r="BA32" i="5"/>
  <c r="BB32" i="5"/>
  <c r="BC32" i="5"/>
  <c r="AY33" i="5"/>
  <c r="AZ33" i="5"/>
  <c r="BA33" i="5"/>
  <c r="BB33" i="5"/>
  <c r="BC33" i="5"/>
  <c r="AY36" i="5"/>
  <c r="AZ36" i="5"/>
  <c r="BA36" i="5"/>
  <c r="BB36" i="5"/>
  <c r="BC36" i="5"/>
  <c r="AY37" i="5"/>
  <c r="AZ37" i="5"/>
  <c r="BA37" i="5"/>
  <c r="BB37" i="5"/>
  <c r="BC37" i="5"/>
  <c r="AY38" i="5"/>
  <c r="AZ38" i="5"/>
  <c r="BA38" i="5"/>
  <c r="BB38" i="5"/>
  <c r="BC38" i="5"/>
  <c r="AY39" i="5"/>
  <c r="AZ39" i="5"/>
  <c r="BA39" i="5"/>
  <c r="BB39" i="5"/>
  <c r="BC39" i="5"/>
  <c r="AY40" i="5"/>
  <c r="AZ40" i="5"/>
  <c r="BA40" i="5"/>
  <c r="BB40" i="5"/>
  <c r="BC40" i="5"/>
  <c r="AY41" i="5"/>
  <c r="AZ41" i="5"/>
  <c r="BA41" i="5"/>
  <c r="BB41" i="5"/>
  <c r="BC41" i="5"/>
  <c r="AY44" i="5"/>
  <c r="AZ44" i="5"/>
  <c r="BA44" i="5"/>
  <c r="BB44" i="5"/>
  <c r="BC44" i="5"/>
  <c r="AY45" i="5"/>
  <c r="AZ45" i="5"/>
  <c r="BA45" i="5"/>
  <c r="BB45" i="5"/>
  <c r="BC45" i="5"/>
  <c r="AY46" i="5"/>
  <c r="AZ46" i="5"/>
  <c r="BA46" i="5"/>
  <c r="BB46" i="5"/>
  <c r="BC46" i="5"/>
  <c r="AY47" i="5"/>
  <c r="AZ47" i="5"/>
  <c r="BA47" i="5"/>
  <c r="BB47" i="5"/>
  <c r="BC47" i="5"/>
  <c r="AY48" i="5"/>
  <c r="AZ48" i="5"/>
  <c r="BA48" i="5"/>
  <c r="BB48" i="5"/>
  <c r="BC48" i="5"/>
  <c r="AY49" i="5"/>
  <c r="AZ49" i="5"/>
  <c r="BA49" i="5"/>
  <c r="BB49" i="5"/>
  <c r="BC49" i="5"/>
  <c r="AX5" i="5"/>
  <c r="AX6" i="5"/>
  <c r="AX7" i="5"/>
  <c r="AX8" i="5"/>
  <c r="AX9" i="5"/>
  <c r="AX12" i="5"/>
  <c r="AX13" i="5"/>
  <c r="AX14" i="5"/>
  <c r="AX15" i="5"/>
  <c r="AX16" i="5"/>
  <c r="AX17" i="5"/>
  <c r="AX20" i="5"/>
  <c r="AX21" i="5"/>
  <c r="AX22" i="5"/>
  <c r="AX23" i="5"/>
  <c r="AX24" i="5"/>
  <c r="AX25" i="5"/>
  <c r="AX28" i="5"/>
  <c r="AX29" i="5"/>
  <c r="AX30" i="5"/>
  <c r="AX31" i="5"/>
  <c r="AX32" i="5"/>
  <c r="AX33" i="5"/>
  <c r="AX36" i="5"/>
  <c r="AX37" i="5"/>
  <c r="AX38" i="5"/>
  <c r="AX39" i="5"/>
  <c r="AX40" i="5"/>
  <c r="AX41" i="5"/>
  <c r="AX44" i="5"/>
  <c r="AX45" i="5"/>
  <c r="AX46" i="5"/>
  <c r="AX47" i="5"/>
  <c r="AX48" i="5"/>
  <c r="AX49" i="5"/>
  <c r="AX4" i="5"/>
  <c r="AP4" i="5"/>
  <c r="BL4" i="5" s="1"/>
  <c r="AQ4" i="5"/>
  <c r="BM4" i="5" s="1"/>
  <c r="AR4" i="5"/>
  <c r="BN4" i="5" s="1"/>
  <c r="AS4" i="5"/>
  <c r="BO4" i="5" s="1"/>
  <c r="AT4" i="5"/>
  <c r="BP4" i="5" s="1"/>
  <c r="AU4" i="5"/>
  <c r="AP5" i="5"/>
  <c r="AQ5" i="5"/>
  <c r="AR5" i="5"/>
  <c r="AS5" i="5"/>
  <c r="AT5" i="5"/>
  <c r="AU5" i="5"/>
  <c r="AP6" i="5"/>
  <c r="AQ6" i="5"/>
  <c r="AR6" i="5"/>
  <c r="BN6" i="5" s="1"/>
  <c r="AS6" i="5"/>
  <c r="AT6" i="5"/>
  <c r="AU6" i="5"/>
  <c r="AP7" i="5"/>
  <c r="AQ7" i="5"/>
  <c r="AR7" i="5"/>
  <c r="AS7" i="5"/>
  <c r="AT7" i="5"/>
  <c r="BP7" i="5" s="1"/>
  <c r="AU7" i="5"/>
  <c r="AP8" i="5"/>
  <c r="AQ8" i="5"/>
  <c r="AR8" i="5"/>
  <c r="AS8" i="5"/>
  <c r="AT8" i="5"/>
  <c r="AU8" i="5"/>
  <c r="AP9" i="5"/>
  <c r="AQ9" i="5"/>
  <c r="AR9" i="5"/>
  <c r="AS9" i="5"/>
  <c r="AT9" i="5"/>
  <c r="BP9" i="5" s="1"/>
  <c r="AU9" i="5"/>
  <c r="AP12" i="5"/>
  <c r="AQ12" i="5"/>
  <c r="BM12" i="5" s="1"/>
  <c r="AR12" i="5"/>
  <c r="BN12" i="5" s="1"/>
  <c r="AS12" i="5"/>
  <c r="AT12" i="5"/>
  <c r="AU12" i="5"/>
  <c r="AP13" i="5"/>
  <c r="AQ13" i="5"/>
  <c r="AR13" i="5"/>
  <c r="AS13" i="5"/>
  <c r="AT13" i="5"/>
  <c r="AU13" i="5"/>
  <c r="AP14" i="5"/>
  <c r="AQ14" i="5"/>
  <c r="BM14" i="5" s="1"/>
  <c r="AR14" i="5"/>
  <c r="BN14" i="5" s="1"/>
  <c r="AS14" i="5"/>
  <c r="BO14" i="5" s="1"/>
  <c r="AT14" i="5"/>
  <c r="AU14" i="5"/>
  <c r="AP15" i="5"/>
  <c r="AQ15" i="5"/>
  <c r="AR15" i="5"/>
  <c r="AS15" i="5"/>
  <c r="AT15" i="5"/>
  <c r="AU15" i="5"/>
  <c r="AP16" i="5"/>
  <c r="AQ16" i="5"/>
  <c r="AR16" i="5"/>
  <c r="AS16" i="5"/>
  <c r="AT16" i="5"/>
  <c r="AU16" i="5"/>
  <c r="AP17" i="5"/>
  <c r="AQ17" i="5"/>
  <c r="AR17" i="5"/>
  <c r="AS17" i="5"/>
  <c r="AT17" i="5"/>
  <c r="AU17" i="5"/>
  <c r="BQ17" i="5" s="1"/>
  <c r="AP20" i="5"/>
  <c r="BL20" i="5" s="1"/>
  <c r="AQ20" i="5"/>
  <c r="BM20" i="5" s="1"/>
  <c r="AR20" i="5"/>
  <c r="BN20" i="5" s="1"/>
  <c r="AS20" i="5"/>
  <c r="BO20" i="5" s="1"/>
  <c r="AT20" i="5"/>
  <c r="BP20" i="5" s="1"/>
  <c r="AU20" i="5"/>
  <c r="AP21" i="5"/>
  <c r="AQ21" i="5"/>
  <c r="AR21" i="5"/>
  <c r="AS21" i="5"/>
  <c r="BO21" i="5" s="1"/>
  <c r="AT21" i="5"/>
  <c r="AU21" i="5"/>
  <c r="AP22" i="5"/>
  <c r="AQ22" i="5"/>
  <c r="AR22" i="5"/>
  <c r="BN22" i="5" s="1"/>
  <c r="AS22" i="5"/>
  <c r="AT22" i="5"/>
  <c r="AU22" i="5"/>
  <c r="AP23" i="5"/>
  <c r="AQ23" i="5"/>
  <c r="AR23" i="5"/>
  <c r="AS23" i="5"/>
  <c r="AT23" i="5"/>
  <c r="BP23" i="5" s="1"/>
  <c r="AU23" i="5"/>
  <c r="AP24" i="5"/>
  <c r="AQ24" i="5"/>
  <c r="AR24" i="5"/>
  <c r="AS24" i="5"/>
  <c r="AT24" i="5"/>
  <c r="AU24" i="5"/>
  <c r="AP25" i="5"/>
  <c r="AQ25" i="5"/>
  <c r="AR25" i="5"/>
  <c r="AS25" i="5"/>
  <c r="AT25" i="5"/>
  <c r="BP25" i="5" s="1"/>
  <c r="AU25" i="5"/>
  <c r="AP28" i="5"/>
  <c r="AQ28" i="5"/>
  <c r="BM28" i="5" s="1"/>
  <c r="AR28" i="5"/>
  <c r="BN28" i="5" s="1"/>
  <c r="AS28" i="5"/>
  <c r="BO28" i="5" s="1"/>
  <c r="AT28" i="5"/>
  <c r="AU28" i="5"/>
  <c r="AP29" i="5"/>
  <c r="AQ29" i="5"/>
  <c r="AR29" i="5"/>
  <c r="AS29" i="5"/>
  <c r="AT29" i="5"/>
  <c r="AU29" i="5"/>
  <c r="AP30" i="5"/>
  <c r="AQ30" i="5"/>
  <c r="BM30" i="5" s="1"/>
  <c r="AR30" i="5"/>
  <c r="BN30" i="5" s="1"/>
  <c r="AS30" i="5"/>
  <c r="BO30" i="5" s="1"/>
  <c r="AT30" i="5"/>
  <c r="AU30" i="5"/>
  <c r="AP31" i="5"/>
  <c r="AQ31" i="5"/>
  <c r="AR31" i="5"/>
  <c r="AS31" i="5"/>
  <c r="AT31" i="5"/>
  <c r="AU31" i="5"/>
  <c r="AP32" i="5"/>
  <c r="AQ32" i="5"/>
  <c r="AR32" i="5"/>
  <c r="AS32" i="5"/>
  <c r="AT32" i="5"/>
  <c r="AU32" i="5"/>
  <c r="AP33" i="5"/>
  <c r="AQ33" i="5"/>
  <c r="AR33" i="5"/>
  <c r="AS33" i="5"/>
  <c r="AT33" i="5"/>
  <c r="AU33" i="5"/>
  <c r="BQ33" i="5" s="1"/>
  <c r="AP36" i="5"/>
  <c r="BL36" i="5" s="1"/>
  <c r="AQ36" i="5"/>
  <c r="BM36" i="5" s="1"/>
  <c r="AR36" i="5"/>
  <c r="BN36" i="5" s="1"/>
  <c r="AS36" i="5"/>
  <c r="BO36" i="5" s="1"/>
  <c r="AT36" i="5"/>
  <c r="BP36" i="5" s="1"/>
  <c r="AU36" i="5"/>
  <c r="AP37" i="5"/>
  <c r="AQ37" i="5"/>
  <c r="AR37" i="5"/>
  <c r="AS37" i="5"/>
  <c r="BO37" i="5" s="1"/>
  <c r="AT37" i="5"/>
  <c r="AU37" i="5"/>
  <c r="AP38" i="5"/>
  <c r="AQ38" i="5"/>
  <c r="AR38" i="5"/>
  <c r="BN38" i="5" s="1"/>
  <c r="AS38" i="5"/>
  <c r="AT38" i="5"/>
  <c r="AU38" i="5"/>
  <c r="AP39" i="5"/>
  <c r="AQ39" i="5"/>
  <c r="AR39" i="5"/>
  <c r="AS39" i="5"/>
  <c r="AT39" i="5"/>
  <c r="BP39" i="5" s="1"/>
  <c r="AU39" i="5"/>
  <c r="AP40" i="5"/>
  <c r="AQ40" i="5"/>
  <c r="AR40" i="5"/>
  <c r="AS40" i="5"/>
  <c r="AT40" i="5"/>
  <c r="AU40" i="5"/>
  <c r="AP41" i="5"/>
  <c r="AQ41" i="5"/>
  <c r="AR41" i="5"/>
  <c r="AS41" i="5"/>
  <c r="AT41" i="5"/>
  <c r="BP41" i="5" s="1"/>
  <c r="AU41" i="5"/>
  <c r="AP44" i="5"/>
  <c r="AQ44" i="5"/>
  <c r="BM44" i="5" s="1"/>
  <c r="AR44" i="5"/>
  <c r="BN44" i="5" s="1"/>
  <c r="AS44" i="5"/>
  <c r="BO44" i="5" s="1"/>
  <c r="AT44" i="5"/>
  <c r="AU44" i="5"/>
  <c r="AP45" i="5"/>
  <c r="AQ45" i="5"/>
  <c r="AR45" i="5"/>
  <c r="AS45" i="5"/>
  <c r="AT45" i="5"/>
  <c r="AU45" i="5"/>
  <c r="AP46" i="5"/>
  <c r="AQ46" i="5"/>
  <c r="BM46" i="5" s="1"/>
  <c r="AR46" i="5"/>
  <c r="BN46" i="5" s="1"/>
  <c r="AS46" i="5"/>
  <c r="BO46" i="5" s="1"/>
  <c r="AT46" i="5"/>
  <c r="AU46" i="5"/>
  <c r="AP47" i="5"/>
  <c r="AQ47" i="5"/>
  <c r="AR47" i="5"/>
  <c r="AS47" i="5"/>
  <c r="AT47" i="5"/>
  <c r="AU47" i="5"/>
  <c r="AP48" i="5"/>
  <c r="AQ48" i="5"/>
  <c r="AR48" i="5"/>
  <c r="AS48" i="5"/>
  <c r="AT48" i="5"/>
  <c r="BP48" i="5" s="1"/>
  <c r="AU48" i="5"/>
  <c r="AP49" i="5"/>
  <c r="AQ49" i="5"/>
  <c r="AR49" i="5"/>
  <c r="AS49" i="5"/>
  <c r="AT49" i="5"/>
  <c r="AU49" i="5"/>
  <c r="BQ49" i="5" s="1"/>
  <c r="AO5" i="5"/>
  <c r="BK5" i="5" s="1"/>
  <c r="AO6" i="5"/>
  <c r="BK6" i="5" s="1"/>
  <c r="AO7" i="5"/>
  <c r="AO8" i="5"/>
  <c r="BK8" i="5" s="1"/>
  <c r="AO9" i="5"/>
  <c r="BK9" i="5" s="1"/>
  <c r="AO12" i="5"/>
  <c r="BK12" i="5" s="1"/>
  <c r="AO13" i="5"/>
  <c r="BK13" i="5" s="1"/>
  <c r="AO14" i="5"/>
  <c r="BK14" i="5" s="1"/>
  <c r="AO15" i="5"/>
  <c r="BK15" i="5" s="1"/>
  <c r="AO16" i="5"/>
  <c r="BK16" i="5" s="1"/>
  <c r="AO17" i="5"/>
  <c r="BK17" i="5" s="1"/>
  <c r="AO20" i="5"/>
  <c r="BK20" i="5" s="1"/>
  <c r="AO21" i="5"/>
  <c r="BK21" i="5" s="1"/>
  <c r="AO22" i="5"/>
  <c r="BK22" i="5" s="1"/>
  <c r="AO23" i="5"/>
  <c r="AO24" i="5"/>
  <c r="BK24" i="5" s="1"/>
  <c r="AO25" i="5"/>
  <c r="BK25" i="5" s="1"/>
  <c r="AO28" i="5"/>
  <c r="BK28" i="5" s="1"/>
  <c r="AO29" i="5"/>
  <c r="BK29" i="5" s="1"/>
  <c r="AO30" i="5"/>
  <c r="BK30" i="5" s="1"/>
  <c r="AO31" i="5"/>
  <c r="BK31" i="5" s="1"/>
  <c r="AO32" i="5"/>
  <c r="BK32" i="5" s="1"/>
  <c r="AO33" i="5"/>
  <c r="BK33" i="5" s="1"/>
  <c r="AO36" i="5"/>
  <c r="BK36" i="5" s="1"/>
  <c r="AO37" i="5"/>
  <c r="BK37" i="5" s="1"/>
  <c r="AO38" i="5"/>
  <c r="BK38" i="5" s="1"/>
  <c r="AO39" i="5"/>
  <c r="BK39" i="5" s="1"/>
  <c r="AO40" i="5"/>
  <c r="BK40" i="5" s="1"/>
  <c r="AO41" i="5"/>
  <c r="BK41" i="5" s="1"/>
  <c r="AO44" i="5"/>
  <c r="BK44" i="5" s="1"/>
  <c r="AO45" i="5"/>
  <c r="BK45" i="5" s="1"/>
  <c r="AO46" i="5"/>
  <c r="BK46" i="5" s="1"/>
  <c r="AO47" i="5"/>
  <c r="BK47" i="5" s="1"/>
  <c r="AO48" i="5"/>
  <c r="BK48" i="5" s="1"/>
  <c r="AO49" i="5"/>
  <c r="BK49" i="5" s="1"/>
  <c r="AO4" i="5"/>
  <c r="BK4" i="5" s="1"/>
  <c r="BL40" i="5" l="1"/>
  <c r="BL24" i="5"/>
  <c r="BL8" i="5"/>
  <c r="BQ41" i="5"/>
  <c r="BQ25" i="5"/>
  <c r="BQ9" i="5"/>
  <c r="BL49" i="5"/>
  <c r="BL37" i="5"/>
  <c r="BL21" i="5"/>
  <c r="BL5" i="5"/>
  <c r="BP46" i="5"/>
  <c r="BP40" i="5"/>
  <c r="BP30" i="5"/>
  <c r="BP24" i="5"/>
  <c r="BO5" i="5"/>
  <c r="BL45" i="5"/>
  <c r="BL29" i="5"/>
  <c r="BP14" i="5"/>
  <c r="BM38" i="5"/>
  <c r="BM22" i="5"/>
  <c r="BM6" i="5"/>
  <c r="BK7" i="5"/>
  <c r="BL13" i="5"/>
  <c r="BO47" i="5"/>
  <c r="BO31" i="5"/>
  <c r="BO23" i="5"/>
  <c r="BO15" i="5"/>
  <c r="BO7" i="5"/>
  <c r="BO39" i="5"/>
  <c r="BN47" i="5"/>
  <c r="BN39" i="5"/>
  <c r="BN31" i="5"/>
  <c r="BN23" i="5"/>
  <c r="BN15" i="5"/>
  <c r="BN7" i="5"/>
  <c r="BP32" i="5"/>
  <c r="BO48" i="5"/>
  <c r="BO40" i="5"/>
  <c r="BO38" i="5"/>
  <c r="BO32" i="5"/>
  <c r="BO24" i="5"/>
  <c r="BO22" i="5"/>
  <c r="BO16" i="5"/>
  <c r="BO8" i="5"/>
  <c r="BO6" i="5"/>
  <c r="BL44" i="5"/>
  <c r="BL28" i="5"/>
  <c r="BL12" i="5"/>
  <c r="BU12" i="5" s="1"/>
  <c r="BL46" i="5"/>
  <c r="BP49" i="5"/>
  <c r="BP47" i="5"/>
  <c r="BP45" i="5"/>
  <c r="BP37" i="5"/>
  <c r="BP33" i="5"/>
  <c r="BP31" i="5"/>
  <c r="BP29" i="5"/>
  <c r="BP21" i="5"/>
  <c r="BP17" i="5"/>
  <c r="BP15" i="5"/>
  <c r="BP13" i="5"/>
  <c r="BP5" i="5"/>
  <c r="BU5" i="5" s="1"/>
  <c r="BO41" i="5"/>
  <c r="BO9" i="5"/>
  <c r="BM49" i="5"/>
  <c r="BM45" i="5"/>
  <c r="BM41" i="5"/>
  <c r="BM39" i="5"/>
  <c r="BM37" i="5"/>
  <c r="BM33" i="5"/>
  <c r="BM29" i="5"/>
  <c r="BM25" i="5"/>
  <c r="BM23" i="5"/>
  <c r="BM21" i="5"/>
  <c r="BU21" i="5" s="1"/>
  <c r="BM17" i="5"/>
  <c r="BM13" i="5"/>
  <c r="BM9" i="5"/>
  <c r="BM7" i="5"/>
  <c r="BM5" i="5"/>
  <c r="BN48" i="5"/>
  <c r="BN32" i="5"/>
  <c r="BM48" i="5"/>
  <c r="BO29" i="5"/>
  <c r="BO13" i="5"/>
  <c r="BN16" i="5"/>
  <c r="BU16" i="5" s="1"/>
  <c r="BM32" i="5"/>
  <c r="BO45" i="5"/>
  <c r="BO25" i="5"/>
  <c r="BL41" i="5"/>
  <c r="BQ46" i="5"/>
  <c r="BQ44" i="5"/>
  <c r="BQ40" i="5"/>
  <c r="BQ36" i="5"/>
  <c r="BU36" i="5" s="1"/>
  <c r="BQ30" i="5"/>
  <c r="BQ28" i="5"/>
  <c r="BQ24" i="5"/>
  <c r="BQ14" i="5"/>
  <c r="BU14" i="5" s="1"/>
  <c r="BQ8" i="5"/>
  <c r="BK23" i="5"/>
  <c r="BM16" i="5"/>
  <c r="BL30" i="5"/>
  <c r="BL14" i="5"/>
  <c r="BM40" i="5"/>
  <c r="BM24" i="5"/>
  <c r="BL48" i="5"/>
  <c r="BL16" i="5"/>
  <c r="BQ47" i="5"/>
  <c r="BQ45" i="5"/>
  <c r="BQ39" i="5"/>
  <c r="BQ37" i="5"/>
  <c r="BQ31" i="5"/>
  <c r="BQ29" i="5"/>
  <c r="BQ23" i="5"/>
  <c r="BQ21" i="5"/>
  <c r="BQ15" i="5"/>
  <c r="BQ13" i="5"/>
  <c r="BQ7" i="5"/>
  <c r="BQ5" i="5"/>
  <c r="BN49" i="5"/>
  <c r="BN45" i="5"/>
  <c r="BN41" i="5"/>
  <c r="BN37" i="5"/>
  <c r="BN33" i="5"/>
  <c r="BN29" i="5"/>
  <c r="BN25" i="5"/>
  <c r="BN21" i="5"/>
  <c r="BN17" i="5"/>
  <c r="BN13" i="5"/>
  <c r="BN9" i="5"/>
  <c r="BN5" i="5"/>
  <c r="BO49" i="5"/>
  <c r="BO17" i="5"/>
  <c r="BM15" i="5"/>
  <c r="BO33" i="5"/>
  <c r="BM31" i="5"/>
  <c r="BL39" i="5"/>
  <c r="BL33" i="5"/>
  <c r="BL25" i="5"/>
  <c r="BL23" i="5"/>
  <c r="BL17" i="5"/>
  <c r="BL15" i="5"/>
  <c r="BL9" i="5"/>
  <c r="BL7" i="5"/>
  <c r="BM47" i="5"/>
  <c r="BL47" i="5"/>
  <c r="BL31" i="5"/>
  <c r="BQ48" i="5"/>
  <c r="BQ38" i="5"/>
  <c r="BQ32" i="5"/>
  <c r="BQ22" i="5"/>
  <c r="BQ20" i="5"/>
  <c r="BU20" i="5" s="1"/>
  <c r="BQ16" i="5"/>
  <c r="BQ12" i="5"/>
  <c r="BQ6" i="5"/>
  <c r="BQ4" i="5"/>
  <c r="BU4" i="5" s="1"/>
  <c r="BP44" i="5"/>
  <c r="BU44" i="5" s="1"/>
  <c r="BP38" i="5"/>
  <c r="BP28" i="5"/>
  <c r="BP22" i="5"/>
  <c r="BP16" i="5"/>
  <c r="BP12" i="5"/>
  <c r="BP8" i="5"/>
  <c r="BP6" i="5"/>
  <c r="BO12" i="5"/>
  <c r="BN24" i="5"/>
  <c r="BN8" i="5"/>
  <c r="BM8" i="5"/>
  <c r="BN40" i="5"/>
  <c r="BL38" i="5"/>
  <c r="BL32" i="5"/>
  <c r="BL22" i="5"/>
  <c r="BL6" i="5"/>
  <c r="BU6" i="5" l="1"/>
  <c r="BU22" i="5"/>
  <c r="BU46" i="5"/>
  <c r="BU28" i="5"/>
  <c r="BU23" i="5"/>
  <c r="BU45" i="5"/>
  <c r="BU37" i="5"/>
  <c r="BU7" i="5"/>
  <c r="BU30" i="5"/>
  <c r="BU48" i="5"/>
  <c r="BU29" i="5"/>
  <c r="BU33" i="5"/>
  <c r="BU17" i="5"/>
  <c r="BU8" i="5"/>
  <c r="BU25" i="5"/>
  <c r="BU32" i="5"/>
  <c r="BU13" i="5"/>
  <c r="BU40" i="5"/>
  <c r="BU47" i="5"/>
  <c r="BU41" i="5"/>
  <c r="BU31" i="5"/>
  <c r="BU15" i="5"/>
  <c r="BU9" i="5"/>
  <c r="BU49" i="5"/>
  <c r="BU24" i="5"/>
  <c r="BU38" i="5"/>
  <c r="BU39" i="5"/>
</calcChain>
</file>

<file path=xl/sharedStrings.xml><?xml version="1.0" encoding="utf-8"?>
<sst xmlns="http://schemas.openxmlformats.org/spreadsheetml/2006/main" count="648" uniqueCount="25">
  <si>
    <t>Domain</t>
  </si>
  <si>
    <t>Scale</t>
  </si>
  <si>
    <t>bic</t>
  </si>
  <si>
    <t>bil</t>
  </si>
  <si>
    <t>con</t>
  </si>
  <si>
    <t>con2</t>
  </si>
  <si>
    <t>dis</t>
  </si>
  <si>
    <t>laf</t>
  </si>
  <si>
    <t>nn</t>
  </si>
  <si>
    <t>s1</t>
  </si>
  <si>
    <t>s2</t>
  </si>
  <si>
    <t>s3</t>
  </si>
  <si>
    <t>s4</t>
  </si>
  <si>
    <t>s5</t>
  </si>
  <si>
    <t>MAE</t>
  </si>
  <si>
    <t>NSE</t>
  </si>
  <si>
    <t>KGE</t>
  </si>
  <si>
    <t>MSE</t>
  </si>
  <si>
    <t>MAE EST</t>
  </si>
  <si>
    <t>MSE EST</t>
  </si>
  <si>
    <t>Indice</t>
  </si>
  <si>
    <t>Factor</t>
  </si>
  <si>
    <t>Ponderado</t>
  </si>
  <si>
    <t>Metodo seleccionado</t>
  </si>
  <si>
    <t>krig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</si>
</sst>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9" formatCode="0.000"/>
    <numFmt numFmtId="171" formatCode="0.000000"/>
  </numFmts>
  <fonts count="3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9" fontId="0" fillId="0" borderId="6" xfId="0" applyNumberFormat="1" applyBorder="1"/>
    <xf numFmtId="169" fontId="0" fillId="0" borderId="7" xfId="0" applyNumberFormat="1" applyBorder="1"/>
    <xf numFmtId="169" fontId="0" fillId="0" borderId="8" xfId="0" applyNumberFormat="1" applyBorder="1"/>
    <xf numFmtId="0" fontId="0" fillId="0" borderId="9" xfId="0" applyBorder="1"/>
    <xf numFmtId="169" fontId="0" fillId="0" borderId="10" xfId="0" applyNumberFormat="1" applyBorder="1"/>
    <xf numFmtId="169" fontId="0" fillId="0" borderId="11" xfId="0" applyNumberFormat="1" applyBorder="1"/>
    <xf numFmtId="0" fontId="0" fillId="0" borderId="12" xfId="0" applyBorder="1"/>
    <xf numFmtId="169" fontId="0" fillId="0" borderId="13" xfId="0" applyNumberFormat="1" applyBorder="1"/>
    <xf numFmtId="169" fontId="0" fillId="0" borderId="14" xfId="0" applyNumberFormat="1" applyBorder="1"/>
    <xf numFmtId="169" fontId="0" fillId="0" borderId="15" xfId="0" applyNumberFormat="1" applyBorder="1"/>
    <xf numFmtId="169" fontId="0" fillId="0" borderId="7" xfId="0" applyNumberFormat="1" applyFill="1" applyBorder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  <xf numFmtId="171" fontId="2" fillId="0" borderId="0" xfId="1" applyNumberFormat="1"/>
  </cellXfs>
  <cellStyles count="2">
    <cellStyle name="Normal" xfId="0" builtinId="0"/>
    <cellStyle name="Normal 2" xfId="1" xr:uid="{DB23EC06-3DA1-4A43-B5C8-83AAC9F9B46A}"/>
  </cellStyles>
  <dxfs count="50"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opLeftCell="A13" workbookViewId="0">
      <selection sqref="A1:H48"/>
    </sheetView>
  </sheetViews>
  <sheetFormatPr baseColWidth="10" defaultRowHeight="14.4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0.2</v>
      </c>
      <c r="B3">
        <v>1.25032302200272E-3</v>
      </c>
      <c r="C3">
        <v>1.71730071731964E-3</v>
      </c>
      <c r="D3">
        <v>1.84761847425933E-3</v>
      </c>
      <c r="E3">
        <v>1.8475623799017701E-3</v>
      </c>
      <c r="F3">
        <v>2.9366889866594302E-3</v>
      </c>
      <c r="G3">
        <v>5.5217363694592099E-3</v>
      </c>
      <c r="H3">
        <v>5.5248882184320697E-3</v>
      </c>
    </row>
    <row r="4" spans="1:8">
      <c r="A4">
        <v>0.5</v>
      </c>
      <c r="B4">
        <v>7.9371685575140797E-3</v>
      </c>
      <c r="C4">
        <v>8.3575245372036998E-3</v>
      </c>
      <c r="D4">
        <v>1.13330784829263E-2</v>
      </c>
      <c r="E4">
        <v>1.13449501296824E-2</v>
      </c>
      <c r="F4">
        <v>9.7810915853359399E-3</v>
      </c>
      <c r="G4">
        <v>1.13330784829263E-2</v>
      </c>
      <c r="H4">
        <v>1.13330784829263E-2</v>
      </c>
    </row>
    <row r="5" spans="1:8">
      <c r="A5">
        <v>1</v>
      </c>
      <c r="B5">
        <v>1.5797654546238601E-2</v>
      </c>
      <c r="C5">
        <v>1.55798658297343E-2</v>
      </c>
      <c r="D5">
        <v>1.83196159579165E-2</v>
      </c>
      <c r="E5">
        <v>1.8314813986713599E-2</v>
      </c>
      <c r="F5">
        <v>1.7155900335816699E-2</v>
      </c>
      <c r="G5">
        <v>1.93508212355239E-2</v>
      </c>
      <c r="H5">
        <v>1.9321845156546301E-2</v>
      </c>
    </row>
    <row r="6" spans="1:8">
      <c r="A6">
        <v>1.5</v>
      </c>
      <c r="B6">
        <v>1.9926823928379699E-2</v>
      </c>
      <c r="C6">
        <v>1.9404150310390101E-2</v>
      </c>
      <c r="D6">
        <v>2.3920664155307501E-2</v>
      </c>
      <c r="E6">
        <v>2.39257580572977E-2</v>
      </c>
      <c r="F6">
        <v>2.1869393113112399E-2</v>
      </c>
      <c r="G6">
        <v>2.3920664155307501E-2</v>
      </c>
      <c r="H6">
        <v>2.3920664155307501E-2</v>
      </c>
    </row>
    <row r="7" spans="1:8">
      <c r="A7">
        <v>2</v>
      </c>
      <c r="B7">
        <v>2.46674735260058E-2</v>
      </c>
      <c r="C7">
        <v>2.3808509382485101E-2</v>
      </c>
      <c r="D7">
        <v>2.78444004134011E-2</v>
      </c>
      <c r="E7">
        <v>2.7838402931513299E-2</v>
      </c>
      <c r="F7">
        <v>2.6182352385737E-2</v>
      </c>
      <c r="G7">
        <v>2.8452529739301301E-2</v>
      </c>
      <c r="H7">
        <v>2.8340120195042302E-2</v>
      </c>
    </row>
    <row r="8" spans="1:8">
      <c r="A8">
        <v>2.5</v>
      </c>
      <c r="B8">
        <v>2.64156350954361E-2</v>
      </c>
      <c r="C8">
        <v>2.5384689287883001E-2</v>
      </c>
      <c r="D8">
        <v>3.0650348537122299E-2</v>
      </c>
      <c r="E8">
        <v>3.0688214497492702E-2</v>
      </c>
      <c r="F8">
        <v>2.82084682740129E-2</v>
      </c>
      <c r="G8">
        <v>3.0650348537122299E-2</v>
      </c>
      <c r="H8">
        <v>3.0650348537122299E-2</v>
      </c>
    </row>
    <row r="9" spans="1:8">
      <c r="A9" t="s">
        <v>9</v>
      </c>
    </row>
    <row r="10" spans="1:8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</row>
    <row r="11" spans="1:8">
      <c r="A11">
        <v>0.2</v>
      </c>
      <c r="B11">
        <v>1.5595754600525799E-3</v>
      </c>
      <c r="C11">
        <v>2.1477570236598099E-3</v>
      </c>
      <c r="D11">
        <v>2.1940625197704E-3</v>
      </c>
      <c r="E11">
        <v>2.19405915314742E-3</v>
      </c>
      <c r="F11">
        <v>3.4799612754721899E-3</v>
      </c>
      <c r="G11">
        <v>6.5773803493153196E-3</v>
      </c>
      <c r="H11">
        <v>6.6524131032842798E-3</v>
      </c>
    </row>
    <row r="12" spans="1:8">
      <c r="A12">
        <v>0.5</v>
      </c>
      <c r="B12">
        <v>9.8353078551352297E-3</v>
      </c>
      <c r="C12">
        <v>1.0260009334551699E-2</v>
      </c>
      <c r="D12">
        <v>1.35369174973322E-2</v>
      </c>
      <c r="E12">
        <v>1.3539771302738901E-2</v>
      </c>
      <c r="F12">
        <v>1.1579661467320901E-2</v>
      </c>
      <c r="G12">
        <v>1.35369174973322E-2</v>
      </c>
      <c r="H12">
        <v>1.35369174973322E-2</v>
      </c>
    </row>
    <row r="13" spans="1:8">
      <c r="A13">
        <v>1</v>
      </c>
      <c r="B13">
        <v>1.8924052158547099E-2</v>
      </c>
      <c r="C13">
        <v>1.8552099624346501E-2</v>
      </c>
      <c r="D13">
        <v>2.16420272848044E-2</v>
      </c>
      <c r="E13">
        <v>2.1638900069262602E-2</v>
      </c>
      <c r="F13">
        <v>1.9755723688365399E-2</v>
      </c>
      <c r="G13">
        <v>2.2796847566168399E-2</v>
      </c>
      <c r="H13">
        <v>2.2904457920003899E-2</v>
      </c>
    </row>
    <row r="14" spans="1:8">
      <c r="A14">
        <v>1.5</v>
      </c>
      <c r="B14">
        <v>2.2847257425138202E-2</v>
      </c>
      <c r="C14">
        <v>2.21955388232133E-2</v>
      </c>
      <c r="D14">
        <v>2.7476211079044102E-2</v>
      </c>
      <c r="E14">
        <v>2.7471650241058802E-2</v>
      </c>
      <c r="F14">
        <v>2.4450860408982599E-2</v>
      </c>
      <c r="G14">
        <v>2.7476211079044102E-2</v>
      </c>
      <c r="H14">
        <v>2.7476211079044102E-2</v>
      </c>
    </row>
    <row r="15" spans="1:8">
      <c r="A15">
        <v>2</v>
      </c>
      <c r="B15">
        <v>2.8104531343321099E-2</v>
      </c>
      <c r="C15">
        <v>2.7081099838032099E-2</v>
      </c>
      <c r="D15">
        <v>3.1692370651711599E-2</v>
      </c>
      <c r="E15">
        <v>3.1687869312892997E-2</v>
      </c>
      <c r="F15">
        <v>2.8424721433737199E-2</v>
      </c>
      <c r="G15">
        <v>3.2343696679959101E-2</v>
      </c>
      <c r="H15">
        <v>3.2347919186334201E-2</v>
      </c>
    </row>
    <row r="16" spans="1:8">
      <c r="A16">
        <v>2.5</v>
      </c>
      <c r="B16">
        <v>3.02838540370645E-2</v>
      </c>
      <c r="C16">
        <v>2.8970450004564399E-2</v>
      </c>
      <c r="D16">
        <v>3.5081796855294903E-2</v>
      </c>
      <c r="E16">
        <v>3.5115577421779898E-2</v>
      </c>
      <c r="F16">
        <v>3.0845852424105199E-2</v>
      </c>
      <c r="G16">
        <v>3.5081796855294903E-2</v>
      </c>
      <c r="H16">
        <v>3.5081796855294903E-2</v>
      </c>
    </row>
    <row r="17" spans="1:8">
      <c r="A17" t="s">
        <v>10</v>
      </c>
    </row>
    <row r="18" spans="1:8">
      <c r="A18" t="s">
        <v>1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  <c r="H18" t="s">
        <v>8</v>
      </c>
    </row>
    <row r="19" spans="1:8">
      <c r="A19">
        <v>0.2</v>
      </c>
      <c r="B19">
        <v>5.7521413596885705E-4</v>
      </c>
      <c r="C19">
        <v>7.8992490266547298E-4</v>
      </c>
      <c r="D19">
        <v>8.0549490732409804E-4</v>
      </c>
      <c r="E19">
        <v>8.0552974626597505E-4</v>
      </c>
      <c r="F19">
        <v>1.2835762408170499E-3</v>
      </c>
      <c r="G19">
        <v>2.6112033471297402E-3</v>
      </c>
      <c r="H19">
        <v>2.6049759391380402E-3</v>
      </c>
    </row>
    <row r="20" spans="1:8">
      <c r="A20">
        <v>0.5</v>
      </c>
      <c r="B20">
        <v>3.86304370690666E-3</v>
      </c>
      <c r="C20">
        <v>4.0911083323595101E-3</v>
      </c>
      <c r="D20">
        <v>5.4411055565676903E-3</v>
      </c>
      <c r="E20">
        <v>5.4435203334911196E-3</v>
      </c>
      <c r="F20">
        <v>4.6219513155539701E-3</v>
      </c>
      <c r="G20">
        <v>5.4411055565676903E-3</v>
      </c>
      <c r="H20">
        <v>5.4411055565676903E-3</v>
      </c>
    </row>
    <row r="21" spans="1:8">
      <c r="A21">
        <v>1</v>
      </c>
      <c r="B21">
        <v>7.8467264890603895E-3</v>
      </c>
      <c r="C21">
        <v>7.7603890234391E-3</v>
      </c>
      <c r="D21">
        <v>8.7959013188968604E-3</v>
      </c>
      <c r="E21">
        <v>8.7944114740399603E-3</v>
      </c>
      <c r="F21">
        <v>8.4774212542057092E-3</v>
      </c>
      <c r="G21">
        <v>9.3844471532898606E-3</v>
      </c>
      <c r="H21">
        <v>9.2767509133420203E-3</v>
      </c>
    </row>
    <row r="22" spans="1:8">
      <c r="A22">
        <v>1.5</v>
      </c>
      <c r="B22">
        <v>1.0839011708777199E-2</v>
      </c>
      <c r="C22">
        <v>1.04874257857206E-2</v>
      </c>
      <c r="D22">
        <v>1.22562174041845E-2</v>
      </c>
      <c r="E22">
        <v>1.22771024123131E-2</v>
      </c>
      <c r="F22">
        <v>1.14074578515947E-2</v>
      </c>
      <c r="G22">
        <v>1.22562174041845E-2</v>
      </c>
      <c r="H22">
        <v>1.22562174041845E-2</v>
      </c>
    </row>
    <row r="23" spans="1:8">
      <c r="A23">
        <v>2</v>
      </c>
      <c r="B23">
        <v>1.48863934659092E-2</v>
      </c>
      <c r="C23">
        <v>1.4157904880276E-2</v>
      </c>
      <c r="D23">
        <v>1.5495216589344401E-2</v>
      </c>
      <c r="E23">
        <v>1.5504086538461401E-2</v>
      </c>
      <c r="F23">
        <v>1.50524729065807E-2</v>
      </c>
      <c r="G23">
        <v>1.58467648159233E-2</v>
      </c>
      <c r="H23">
        <v>1.5655307912908902E-2</v>
      </c>
    </row>
    <row r="24" spans="1:8">
      <c r="A24">
        <v>2.5</v>
      </c>
      <c r="B24">
        <v>1.61286841110337E-2</v>
      </c>
      <c r="C24">
        <v>1.5477756342652501E-2</v>
      </c>
      <c r="D24">
        <v>1.5859332060361098E-2</v>
      </c>
      <c r="E24">
        <v>1.6008544468707201E-2</v>
      </c>
      <c r="F24">
        <v>1.5972410821643201E-2</v>
      </c>
      <c r="G24">
        <v>1.5859332060361098E-2</v>
      </c>
      <c r="H24">
        <v>1.5859332060361098E-2</v>
      </c>
    </row>
    <row r="25" spans="1:8">
      <c r="A25" t="s">
        <v>11</v>
      </c>
    </row>
    <row r="26" spans="1:8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</row>
    <row r="27" spans="1:8">
      <c r="A27">
        <v>0.2</v>
      </c>
      <c r="B27">
        <v>1.14712449591561E-3</v>
      </c>
      <c r="C27">
        <v>1.56852790128563E-3</v>
      </c>
      <c r="D27">
        <v>1.6291617416797099E-3</v>
      </c>
      <c r="E27">
        <v>1.62919215777727E-3</v>
      </c>
      <c r="F27">
        <v>2.6805984659826901E-3</v>
      </c>
      <c r="G27">
        <v>5.37588706399705E-3</v>
      </c>
      <c r="H27">
        <v>5.45699952919022E-3</v>
      </c>
    </row>
    <row r="28" spans="1:8">
      <c r="A28">
        <v>0.5</v>
      </c>
      <c r="B28">
        <v>7.5069852018884997E-3</v>
      </c>
      <c r="C28">
        <v>8.06435674018742E-3</v>
      </c>
      <c r="D28">
        <v>1.1119021543136799E-2</v>
      </c>
      <c r="E28">
        <v>1.1115426540604399E-2</v>
      </c>
      <c r="F28">
        <v>9.4601662513705501E-3</v>
      </c>
      <c r="G28">
        <v>1.1119021543136799E-2</v>
      </c>
      <c r="H28">
        <v>1.1119021543136799E-2</v>
      </c>
    </row>
    <row r="29" spans="1:8">
      <c r="A29">
        <v>1</v>
      </c>
      <c r="B29">
        <v>1.60002480106579E-2</v>
      </c>
      <c r="C29">
        <v>1.5970221870161599E-2</v>
      </c>
      <c r="D29">
        <v>1.8391436938154801E-2</v>
      </c>
      <c r="E29">
        <v>1.83835609665426E-2</v>
      </c>
      <c r="F29">
        <v>1.7536495390861599E-2</v>
      </c>
      <c r="G29">
        <v>1.9562098580601501E-2</v>
      </c>
      <c r="H29">
        <v>1.96588404714193E-2</v>
      </c>
    </row>
    <row r="30" spans="1:8">
      <c r="A30">
        <v>1.5</v>
      </c>
      <c r="B30">
        <v>2.1572670897868799E-2</v>
      </c>
      <c r="C30">
        <v>2.1187629517487601E-2</v>
      </c>
      <c r="D30">
        <v>2.595533615742E-2</v>
      </c>
      <c r="E30">
        <v>2.5930332604536799E-2</v>
      </c>
      <c r="F30">
        <v>2.3168789506890199E-2</v>
      </c>
      <c r="G30">
        <v>2.595533615742E-2</v>
      </c>
      <c r="H30">
        <v>2.595533615742E-2</v>
      </c>
    </row>
    <row r="31" spans="1:8">
      <c r="A31">
        <v>2</v>
      </c>
      <c r="B31">
        <v>2.6337031410177299E-2</v>
      </c>
      <c r="C31">
        <v>2.5726254848894899E-2</v>
      </c>
      <c r="D31">
        <v>2.9173979589064598E-2</v>
      </c>
      <c r="E31">
        <v>2.9150888198335698E-2</v>
      </c>
      <c r="F31">
        <v>2.7186644325617099E-2</v>
      </c>
      <c r="G31">
        <v>2.9955039531329799E-2</v>
      </c>
      <c r="H31">
        <v>2.9824570770490898E-2</v>
      </c>
    </row>
    <row r="32" spans="1:8">
      <c r="A32">
        <v>2.5</v>
      </c>
      <c r="B32">
        <v>2.7039117170895001E-2</v>
      </c>
      <c r="C32">
        <v>2.659242341609E-2</v>
      </c>
      <c r="D32">
        <v>3.3045233628993302E-2</v>
      </c>
      <c r="E32">
        <v>3.3019205376009102E-2</v>
      </c>
      <c r="F32">
        <v>3.0317441356383E-2</v>
      </c>
      <c r="G32">
        <v>3.3045233628993302E-2</v>
      </c>
      <c r="H32">
        <v>3.3045233628993302E-2</v>
      </c>
    </row>
    <row r="33" spans="1:8">
      <c r="A33" t="s">
        <v>12</v>
      </c>
    </row>
    <row r="34" spans="1:8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</row>
    <row r="35" spans="1:8">
      <c r="A35">
        <v>0.2</v>
      </c>
      <c r="B35">
        <v>4.4448038176033903E-4</v>
      </c>
      <c r="C35">
        <v>6.2378897136797598E-4</v>
      </c>
      <c r="D35">
        <v>6.0525224215246705E-4</v>
      </c>
      <c r="E35">
        <v>6.05402466367713E-4</v>
      </c>
      <c r="F35">
        <v>1.03711434977578E-3</v>
      </c>
      <c r="G35">
        <v>3.3530762331838602E-3</v>
      </c>
      <c r="H35">
        <v>3.23384192825112E-3</v>
      </c>
    </row>
    <row r="36" spans="1:8">
      <c r="A36">
        <v>0.5</v>
      </c>
      <c r="B36">
        <v>2.7946648992576901E-3</v>
      </c>
      <c r="C36">
        <v>3.3082778366913999E-3</v>
      </c>
      <c r="D36">
        <v>6.8991726457399098E-3</v>
      </c>
      <c r="E36">
        <v>6.9061154708520197E-3</v>
      </c>
      <c r="F36">
        <v>4.5926203807390804E-3</v>
      </c>
      <c r="G36">
        <v>6.8991726457399098E-3</v>
      </c>
      <c r="H36">
        <v>6.8991726457399098E-3</v>
      </c>
    </row>
    <row r="37" spans="1:8">
      <c r="A37">
        <v>1</v>
      </c>
      <c r="B37">
        <v>7.6117444326617399E-3</v>
      </c>
      <c r="C37">
        <v>8.2768133616118802E-3</v>
      </c>
      <c r="D37">
        <v>1.21537062780269E-2</v>
      </c>
      <c r="E37">
        <v>1.2165485426009001E-2</v>
      </c>
      <c r="F37">
        <v>1.0353424412094E-2</v>
      </c>
      <c r="G37">
        <v>1.3698600896861E-2</v>
      </c>
      <c r="H37">
        <v>1.36674304932735E-2</v>
      </c>
    </row>
    <row r="38" spans="1:8">
      <c r="A38">
        <v>1.5</v>
      </c>
      <c r="B38">
        <v>1.2481391791044801E-2</v>
      </c>
      <c r="C38">
        <v>1.26522686567164E-2</v>
      </c>
      <c r="D38">
        <v>1.8464751121076199E-2</v>
      </c>
      <c r="E38">
        <v>1.8492123318385699E-2</v>
      </c>
      <c r="F38">
        <v>1.4635161254199299E-2</v>
      </c>
      <c r="G38">
        <v>1.8464751121076199E-2</v>
      </c>
      <c r="H38">
        <v>1.8464751121076199E-2</v>
      </c>
    </row>
    <row r="39" spans="1:8">
      <c r="A39">
        <v>2</v>
      </c>
      <c r="B39">
        <v>2.7052565737051799E-2</v>
      </c>
      <c r="C39">
        <v>2.8298503984063798E-2</v>
      </c>
      <c r="D39">
        <v>1.9886166853303501E-2</v>
      </c>
      <c r="E39">
        <v>1.9906032474803999E-2</v>
      </c>
      <c r="F39">
        <v>1.9546026875699899E-2</v>
      </c>
      <c r="G39">
        <v>2.0702346024636099E-2</v>
      </c>
      <c r="H39">
        <v>2.0571412094065E-2</v>
      </c>
    </row>
    <row r="40" spans="1:8">
      <c r="A40">
        <v>2.5</v>
      </c>
      <c r="B40">
        <v>3.3129647657841203E-2</v>
      </c>
      <c r="C40">
        <v>3.3471433808554003E-2</v>
      </c>
      <c r="D40">
        <v>2.8347582306830901E-2</v>
      </c>
      <c r="E40">
        <v>2.8537937290033601E-2</v>
      </c>
      <c r="F40">
        <v>2.4984176931690898E-2</v>
      </c>
      <c r="G40">
        <v>2.8347582306830901E-2</v>
      </c>
      <c r="H40">
        <v>2.8347582306830901E-2</v>
      </c>
    </row>
    <row r="41" spans="1:8">
      <c r="A41" t="s">
        <v>13</v>
      </c>
    </row>
    <row r="42" spans="1:8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</row>
    <row r="43" spans="1:8">
      <c r="A43">
        <v>0.2</v>
      </c>
      <c r="B43">
        <v>1.43210349607269E-3</v>
      </c>
      <c r="C43">
        <v>1.9428778684737399E-3</v>
      </c>
      <c r="D43">
        <v>2.2305813035787101E-3</v>
      </c>
      <c r="E43">
        <v>2.2303944754388299E-3</v>
      </c>
      <c r="F43">
        <v>3.5095074029611998E-3</v>
      </c>
      <c r="G43">
        <v>6.7796536943802096E-3</v>
      </c>
      <c r="H43">
        <v>6.66712970297028E-3</v>
      </c>
    </row>
    <row r="44" spans="1:8">
      <c r="A44">
        <v>0.5</v>
      </c>
      <c r="B44">
        <v>9.7376625786671205E-3</v>
      </c>
      <c r="C44">
        <v>1.0287017427787599E-2</v>
      </c>
      <c r="D44">
        <v>1.41130696039036E-2</v>
      </c>
      <c r="E44">
        <v>1.41079262342136E-2</v>
      </c>
      <c r="F44">
        <v>1.2856685351170599E-2</v>
      </c>
      <c r="G44">
        <v>1.41130696039036E-2</v>
      </c>
      <c r="H44">
        <v>1.41130696039036E-2</v>
      </c>
    </row>
    <row r="45" spans="1:8">
      <c r="A45">
        <v>1</v>
      </c>
      <c r="B45">
        <v>2.0537952666781E-2</v>
      </c>
      <c r="C45">
        <v>2.0052531641227899E-2</v>
      </c>
      <c r="D45">
        <v>2.3930756376429298E-2</v>
      </c>
      <c r="E45">
        <v>2.3922539577836299E-2</v>
      </c>
      <c r="F45">
        <v>2.4309438345051299E-2</v>
      </c>
      <c r="G45">
        <v>2.544336939314E-2</v>
      </c>
      <c r="H45">
        <v>2.49055124496796E-2</v>
      </c>
    </row>
    <row r="46" spans="1:8">
      <c r="A46">
        <v>1.5</v>
      </c>
      <c r="B46">
        <v>2.99810210340083E-2</v>
      </c>
      <c r="C46">
        <v>2.8769454295262401E-2</v>
      </c>
      <c r="D46">
        <v>3.4295446252179E-2</v>
      </c>
      <c r="E46">
        <v>3.4275230970366201E-2</v>
      </c>
      <c r="F46">
        <v>3.00943431968652E-2</v>
      </c>
      <c r="G46">
        <v>3.4295446252179E-2</v>
      </c>
      <c r="H46">
        <v>3.4295446252179E-2</v>
      </c>
    </row>
    <row r="47" spans="1:8">
      <c r="A47">
        <v>2</v>
      </c>
      <c r="B47">
        <v>4.0773210900473797E-2</v>
      </c>
      <c r="C47">
        <v>3.9079431016324301E-2</v>
      </c>
      <c r="D47">
        <v>4.0818294724075298E-2</v>
      </c>
      <c r="E47">
        <v>4.08202762280169E-2</v>
      </c>
      <c r="F47">
        <v>3.8734191620786798E-2</v>
      </c>
      <c r="G47">
        <v>4.1993600970285101E-2</v>
      </c>
      <c r="H47">
        <v>4.19876868640148E-2</v>
      </c>
    </row>
    <row r="48" spans="1:8">
      <c r="A48">
        <v>2.5</v>
      </c>
      <c r="B48">
        <v>3.2118765762170799E-2</v>
      </c>
      <c r="C48">
        <v>3.1233332402234699E-2</v>
      </c>
      <c r="D48">
        <v>3.88819895968791E-2</v>
      </c>
      <c r="E48">
        <v>3.88539459615663E-2</v>
      </c>
      <c r="F48">
        <v>3.8687579894875201E-2</v>
      </c>
      <c r="G48">
        <v>3.88819895968791E-2</v>
      </c>
      <c r="H48">
        <v>3.88819895968791E-2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topLeftCell="A16" workbookViewId="0">
      <selection sqref="A1:H48"/>
    </sheetView>
  </sheetViews>
  <sheetFormatPr baseColWidth="10" defaultRowHeight="14.4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0.2</v>
      </c>
      <c r="B3">
        <v>2.4189770981092501E-5</v>
      </c>
      <c r="C3">
        <v>5.1170579827836901E-5</v>
      </c>
      <c r="D3">
        <v>6.3950537328279699E-5</v>
      </c>
      <c r="E3">
        <v>6.39416670440551E-5</v>
      </c>
      <c r="F3">
        <v>1.19235080339118E-4</v>
      </c>
      <c r="G3">
        <v>3.6749003306137899E-4</v>
      </c>
      <c r="H3">
        <v>3.65595858584532E-4</v>
      </c>
    </row>
    <row r="4" spans="1:8">
      <c r="A4">
        <v>0.5</v>
      </c>
      <c r="B4">
        <v>6.2487513489583799E-4</v>
      </c>
      <c r="C4">
        <v>6.7076852569246501E-4</v>
      </c>
      <c r="D4">
        <v>1.27582430078546E-3</v>
      </c>
      <c r="E4">
        <v>1.2804591549295699E-3</v>
      </c>
      <c r="F4">
        <v>8.9057128161612099E-4</v>
      </c>
      <c r="G4">
        <v>1.27582430078546E-3</v>
      </c>
      <c r="H4">
        <v>1.27582430078546E-3</v>
      </c>
    </row>
    <row r="5" spans="1:8">
      <c r="A5">
        <v>1</v>
      </c>
      <c r="B5">
        <v>2.0998938983465098E-3</v>
      </c>
      <c r="C5">
        <v>2.0182577842611598E-3</v>
      </c>
      <c r="D5">
        <v>3.02981289379606E-3</v>
      </c>
      <c r="E5">
        <v>3.0297846293625701E-3</v>
      </c>
      <c r="F5">
        <v>2.4245827382561001E-3</v>
      </c>
      <c r="G5">
        <v>3.3692923225819198E-3</v>
      </c>
      <c r="H5">
        <v>3.37907864401841E-3</v>
      </c>
    </row>
    <row r="6" spans="1:8">
      <c r="A6">
        <v>1.5</v>
      </c>
      <c r="B6">
        <v>2.7035446454900698E-3</v>
      </c>
      <c r="C6">
        <v>2.53995789887564E-3</v>
      </c>
      <c r="D6">
        <v>4.5877952495871604E-3</v>
      </c>
      <c r="E6">
        <v>4.5952909511118604E-3</v>
      </c>
      <c r="F6">
        <v>3.75562039197537E-3</v>
      </c>
      <c r="G6">
        <v>4.5877952495871604E-3</v>
      </c>
      <c r="H6">
        <v>4.5877952495871604E-3</v>
      </c>
    </row>
    <row r="7" spans="1:8">
      <c r="A7">
        <v>2</v>
      </c>
      <c r="B7">
        <v>4.0907724410323299E-3</v>
      </c>
      <c r="C7">
        <v>3.8395994638580201E-3</v>
      </c>
      <c r="D7">
        <v>6.2657402372681198E-3</v>
      </c>
      <c r="E7">
        <v>6.2637706835260301E-3</v>
      </c>
      <c r="F7">
        <v>4.91804986602768E-3</v>
      </c>
      <c r="G7">
        <v>6.5572384934421196E-3</v>
      </c>
      <c r="H7">
        <v>6.5027796830556496E-3</v>
      </c>
    </row>
    <row r="8" spans="1:8">
      <c r="A8">
        <v>2.5</v>
      </c>
      <c r="B8">
        <v>4.1478617452528196E-3</v>
      </c>
      <c r="C8">
        <v>3.8919026850043198E-3</v>
      </c>
      <c r="D8">
        <v>6.9125585558663704E-3</v>
      </c>
      <c r="E8">
        <v>6.9761638702499204E-3</v>
      </c>
      <c r="F8">
        <v>5.2232455735675897E-3</v>
      </c>
      <c r="G8">
        <v>6.9125585558663704E-3</v>
      </c>
      <c r="H8">
        <v>6.9125585558663704E-3</v>
      </c>
    </row>
    <row r="9" spans="1:8">
      <c r="A9" t="s">
        <v>9</v>
      </c>
    </row>
    <row r="10" spans="1:8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</row>
    <row r="11" spans="1:8">
      <c r="A11">
        <v>0.2</v>
      </c>
      <c r="B11">
        <v>3.1314618813570202E-5</v>
      </c>
      <c r="C11">
        <v>6.6360989827422996E-5</v>
      </c>
      <c r="D11">
        <v>7.0872181300570594E-5</v>
      </c>
      <c r="E11">
        <v>7.0872271679711099E-5</v>
      </c>
      <c r="F11">
        <v>1.3402519576647E-4</v>
      </c>
      <c r="G11">
        <v>4.3731359302272998E-4</v>
      </c>
      <c r="H11">
        <v>4.53467932389138E-4</v>
      </c>
    </row>
    <row r="12" spans="1:8">
      <c r="A12">
        <v>0.5</v>
      </c>
      <c r="B12">
        <v>8.32611187581695E-4</v>
      </c>
      <c r="C12">
        <v>8.7892196916243201E-4</v>
      </c>
      <c r="D12">
        <v>1.5474943802366099E-3</v>
      </c>
      <c r="E12">
        <v>1.5489568213033101E-3</v>
      </c>
      <c r="F12">
        <v>1.05946351999099E-3</v>
      </c>
      <c r="G12">
        <v>1.5474943802366099E-3</v>
      </c>
      <c r="H12">
        <v>1.5474943802366099E-3</v>
      </c>
    </row>
    <row r="13" spans="1:8">
      <c r="A13">
        <v>1</v>
      </c>
      <c r="B13">
        <v>2.6645426384711399E-3</v>
      </c>
      <c r="C13">
        <v>2.5327295994195301E-3</v>
      </c>
      <c r="D13">
        <v>3.6852465056602399E-3</v>
      </c>
      <c r="E13">
        <v>3.68622983729035E-3</v>
      </c>
      <c r="F13">
        <v>2.7946614787747498E-3</v>
      </c>
      <c r="G13">
        <v>4.0711964324238502E-3</v>
      </c>
      <c r="H13">
        <v>4.1453909492173502E-3</v>
      </c>
    </row>
    <row r="14" spans="1:8">
      <c r="A14">
        <v>1.5</v>
      </c>
      <c r="B14">
        <v>3.04635185139953E-3</v>
      </c>
      <c r="C14">
        <v>2.8623424356406602E-3</v>
      </c>
      <c r="D14">
        <v>5.1302678141964099E-3</v>
      </c>
      <c r="E14">
        <v>5.1303993220571604E-3</v>
      </c>
      <c r="F14">
        <v>4.0322347759392902E-3</v>
      </c>
      <c r="G14">
        <v>5.1302678141964099E-3</v>
      </c>
      <c r="H14">
        <v>5.1302678141964099E-3</v>
      </c>
    </row>
    <row r="15" spans="1:8">
      <c r="A15">
        <v>2</v>
      </c>
      <c r="B15">
        <v>4.6104229766664997E-3</v>
      </c>
      <c r="C15">
        <v>4.29677473806752E-3</v>
      </c>
      <c r="D15">
        <v>6.9343681694381699E-3</v>
      </c>
      <c r="E15">
        <v>6.9350248801958699E-3</v>
      </c>
      <c r="F15">
        <v>4.9712654922257297E-3</v>
      </c>
      <c r="G15">
        <v>7.2035274831354799E-3</v>
      </c>
      <c r="H15">
        <v>7.2163831046914697E-3</v>
      </c>
    </row>
    <row r="16" spans="1:8">
      <c r="A16">
        <v>2.5</v>
      </c>
      <c r="B16">
        <v>4.6232085631936204E-3</v>
      </c>
      <c r="C16">
        <v>4.2756432306949596E-3</v>
      </c>
      <c r="D16">
        <v>7.7722041397183103E-3</v>
      </c>
      <c r="E16">
        <v>7.8226513908970594E-3</v>
      </c>
      <c r="F16">
        <v>5.5045614861804204E-3</v>
      </c>
      <c r="G16">
        <v>7.7722041397183103E-3</v>
      </c>
      <c r="H16">
        <v>7.7722041397183103E-3</v>
      </c>
    </row>
    <row r="17" spans="1:8">
      <c r="A17" t="s">
        <v>10</v>
      </c>
    </row>
    <row r="18" spans="1:8">
      <c r="A18" t="s">
        <v>1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  <c r="H18" t="s">
        <v>8</v>
      </c>
    </row>
    <row r="19" spans="1:8">
      <c r="A19">
        <v>0.2</v>
      </c>
      <c r="B19">
        <v>7.9142333033850804E-6</v>
      </c>
      <c r="C19">
        <v>1.67294848757084E-5</v>
      </c>
      <c r="D19">
        <v>1.7418499190207001E-5</v>
      </c>
      <c r="E19">
        <v>1.7422818067299002E-5</v>
      </c>
      <c r="F19">
        <v>3.4381974556529099E-5</v>
      </c>
      <c r="G19">
        <v>1.3563768220262599E-4</v>
      </c>
      <c r="H19">
        <v>1.3253450786254999E-4</v>
      </c>
    </row>
    <row r="20" spans="1:8">
      <c r="A20">
        <v>0.5</v>
      </c>
      <c r="B20">
        <v>2.26925480113751E-4</v>
      </c>
      <c r="C20">
        <v>2.5508176541623099E-4</v>
      </c>
      <c r="D20">
        <v>4.7490949171068798E-4</v>
      </c>
      <c r="E20">
        <v>4.75368514945201E-4</v>
      </c>
      <c r="F20">
        <v>3.0609371755861898E-4</v>
      </c>
      <c r="G20">
        <v>4.7490949171068798E-4</v>
      </c>
      <c r="H20">
        <v>4.7490949171068798E-4</v>
      </c>
    </row>
    <row r="21" spans="1:8">
      <c r="A21">
        <v>1</v>
      </c>
      <c r="B21">
        <v>8.1040150240138003E-4</v>
      </c>
      <c r="C21">
        <v>7.9982250318132197E-4</v>
      </c>
      <c r="D21">
        <v>1.1197542055735199E-3</v>
      </c>
      <c r="E21">
        <v>1.1194072957163099E-3</v>
      </c>
      <c r="F21">
        <v>9.0600783878589102E-4</v>
      </c>
      <c r="G21">
        <v>1.31732129491697E-3</v>
      </c>
      <c r="H21">
        <v>1.2330049320473299E-3</v>
      </c>
    </row>
    <row r="22" spans="1:8">
      <c r="A22">
        <v>1.5</v>
      </c>
      <c r="B22">
        <v>1.3033340082753799E-3</v>
      </c>
      <c r="C22">
        <v>1.22687692578573E-3</v>
      </c>
      <c r="D22">
        <v>2.0035945935937701E-3</v>
      </c>
      <c r="E22">
        <v>2.0092390853929101E-3</v>
      </c>
      <c r="F22">
        <v>1.42509095464797E-3</v>
      </c>
      <c r="G22">
        <v>2.0035945935937701E-3</v>
      </c>
      <c r="H22">
        <v>2.0035945935937701E-3</v>
      </c>
    </row>
    <row r="23" spans="1:8">
      <c r="A23">
        <v>2</v>
      </c>
      <c r="B23">
        <v>1.9656278409090899E-3</v>
      </c>
      <c r="C23">
        <v>1.8397293019480601E-3</v>
      </c>
      <c r="D23">
        <v>3.5669404369949101E-3</v>
      </c>
      <c r="E23">
        <v>3.5685404818916501E-3</v>
      </c>
      <c r="F23">
        <v>2.38699835036758E-3</v>
      </c>
      <c r="G23">
        <v>3.75721950763244E-3</v>
      </c>
      <c r="H23">
        <v>3.6115302441417098E-3</v>
      </c>
    </row>
    <row r="24" spans="1:8">
      <c r="A24">
        <v>2.5</v>
      </c>
      <c r="B24">
        <v>2.1488013630484798E-3</v>
      </c>
      <c r="C24">
        <v>2.03841155108946E-3</v>
      </c>
      <c r="D24">
        <v>3.1142648400133499E-3</v>
      </c>
      <c r="E24">
        <v>3.2601677338169699E-3</v>
      </c>
      <c r="F24">
        <v>2.21388720297737E-3</v>
      </c>
      <c r="G24">
        <v>3.1142648400133499E-3</v>
      </c>
      <c r="H24">
        <v>3.1142648400133499E-3</v>
      </c>
    </row>
    <row r="25" spans="1:8">
      <c r="A25" t="s">
        <v>11</v>
      </c>
    </row>
    <row r="26" spans="1:8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</row>
    <row r="27" spans="1:8">
      <c r="A27">
        <v>0.2</v>
      </c>
      <c r="B27">
        <v>2.1784786130352001E-5</v>
      </c>
      <c r="C27">
        <v>4.66553958570228E-5</v>
      </c>
      <c r="D27">
        <v>4.5896991704694502E-5</v>
      </c>
      <c r="E27">
        <v>4.5897058333604797E-5</v>
      </c>
      <c r="F27">
        <v>9.2158813958894597E-5</v>
      </c>
      <c r="G27">
        <v>3.4166765499549998E-4</v>
      </c>
      <c r="H27">
        <v>3.5433541834813202E-4</v>
      </c>
    </row>
    <row r="28" spans="1:8">
      <c r="A28">
        <v>0.5</v>
      </c>
      <c r="B28">
        <v>5.9704971460785704E-4</v>
      </c>
      <c r="C28">
        <v>6.6594256923402102E-4</v>
      </c>
      <c r="D28">
        <v>1.14426209691035E-3</v>
      </c>
      <c r="E28">
        <v>1.1436710788451799E-3</v>
      </c>
      <c r="F28">
        <v>7.9482125652015497E-4</v>
      </c>
      <c r="G28">
        <v>1.14426209691035E-3</v>
      </c>
      <c r="H28">
        <v>1.14426209691035E-3</v>
      </c>
    </row>
    <row r="29" spans="1:8">
      <c r="A29">
        <v>1</v>
      </c>
      <c r="B29">
        <v>2.1704550822741501E-3</v>
      </c>
      <c r="C29">
        <v>2.1206227631152702E-3</v>
      </c>
      <c r="D29">
        <v>2.8615289624873202E-3</v>
      </c>
      <c r="E29">
        <v>2.85972453531599E-3</v>
      </c>
      <c r="F29">
        <v>2.3209384338913099E-3</v>
      </c>
      <c r="G29">
        <v>3.2628134504900201E-3</v>
      </c>
      <c r="H29">
        <v>3.3444288285840499E-3</v>
      </c>
    </row>
    <row r="30" spans="1:8">
      <c r="A30">
        <v>1.5</v>
      </c>
      <c r="B30">
        <v>3.6978357206630501E-3</v>
      </c>
      <c r="C30">
        <v>3.4447101820581699E-3</v>
      </c>
      <c r="D30">
        <v>5.5403465769335303E-3</v>
      </c>
      <c r="E30">
        <v>5.5320856791473598E-3</v>
      </c>
      <c r="F30">
        <v>3.7403713431844901E-3</v>
      </c>
      <c r="G30">
        <v>5.5403465769335303E-3</v>
      </c>
      <c r="H30">
        <v>5.5403465769335303E-3</v>
      </c>
    </row>
    <row r="31" spans="1:8">
      <c r="A31">
        <v>2</v>
      </c>
      <c r="B31">
        <v>5.5857731168244803E-3</v>
      </c>
      <c r="C31">
        <v>5.3479187271906897E-3</v>
      </c>
      <c r="D31">
        <v>7.04853217863813E-3</v>
      </c>
      <c r="E31">
        <v>7.0468829003226003E-3</v>
      </c>
      <c r="F31">
        <v>4.9202509880765903E-3</v>
      </c>
      <c r="G31">
        <v>7.5361415180845602E-3</v>
      </c>
      <c r="H31">
        <v>7.5069426397324701E-3</v>
      </c>
    </row>
    <row r="32" spans="1:8">
      <c r="A32">
        <v>2.5</v>
      </c>
      <c r="B32">
        <v>5.5367745217745103E-3</v>
      </c>
      <c r="C32">
        <v>5.48582937638492E-3</v>
      </c>
      <c r="D32">
        <v>8.4220458388191508E-3</v>
      </c>
      <c r="E32">
        <v>8.4565154664172203E-3</v>
      </c>
      <c r="F32">
        <v>5.7675967087765902E-3</v>
      </c>
      <c r="G32">
        <v>8.4220458388191508E-3</v>
      </c>
      <c r="H32">
        <v>8.4220458388191508E-3</v>
      </c>
    </row>
    <row r="33" spans="1:8">
      <c r="A33" t="s">
        <v>12</v>
      </c>
    </row>
    <row r="34" spans="1:8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</row>
    <row r="35" spans="1:8">
      <c r="A35">
        <v>0.2</v>
      </c>
      <c r="B35">
        <v>2.5683987274655301E-6</v>
      </c>
      <c r="C35">
        <v>6.1102863202545301E-6</v>
      </c>
      <c r="D35">
        <v>5.9237668161435203E-6</v>
      </c>
      <c r="E35">
        <v>5.9271300448430702E-6</v>
      </c>
      <c r="F35">
        <v>1.28744394618834E-5</v>
      </c>
      <c r="G35">
        <v>1.11093049327354E-4</v>
      </c>
      <c r="H35">
        <v>1.01408071748879E-4</v>
      </c>
    </row>
    <row r="36" spans="1:8">
      <c r="A36">
        <v>0.5</v>
      </c>
      <c r="B36">
        <v>6.5160127253446502E-5</v>
      </c>
      <c r="C36">
        <v>8.8076352067868404E-5</v>
      </c>
      <c r="D36">
        <v>3.8485426008968602E-4</v>
      </c>
      <c r="E36">
        <v>3.8575336322870001E-4</v>
      </c>
      <c r="F36">
        <v>1.5681858902575599E-4</v>
      </c>
      <c r="G36">
        <v>3.8485426008968602E-4</v>
      </c>
      <c r="H36">
        <v>3.8485426008968602E-4</v>
      </c>
    </row>
    <row r="37" spans="1:8">
      <c r="A37">
        <v>1</v>
      </c>
      <c r="B37">
        <v>4.4758112407211002E-4</v>
      </c>
      <c r="C37">
        <v>5.1280275715800603E-4</v>
      </c>
      <c r="D37">
        <v>1.1568396860986499E-3</v>
      </c>
      <c r="E37">
        <v>1.1591266816143499E-3</v>
      </c>
      <c r="F37">
        <v>7.0122956326987599E-4</v>
      </c>
      <c r="G37">
        <v>1.4905840807174901E-3</v>
      </c>
      <c r="H37">
        <v>1.46967825112108E-3</v>
      </c>
    </row>
    <row r="38" spans="1:8">
      <c r="A38">
        <v>1.5</v>
      </c>
      <c r="B38">
        <v>1.1394067164179099E-3</v>
      </c>
      <c r="C38">
        <v>1.1980199004975099E-3</v>
      </c>
      <c r="D38">
        <v>2.6069562780269102E-3</v>
      </c>
      <c r="E38">
        <v>2.6129719730941699E-3</v>
      </c>
      <c r="F38">
        <v>1.32703247480403E-3</v>
      </c>
      <c r="G38">
        <v>2.6069562780269102E-3</v>
      </c>
      <c r="H38">
        <v>2.6069562780269102E-3</v>
      </c>
    </row>
    <row r="39" spans="1:8">
      <c r="A39">
        <v>2</v>
      </c>
      <c r="B39">
        <v>4.1386115537848604E-3</v>
      </c>
      <c r="C39">
        <v>4.4377968127490104E-3</v>
      </c>
      <c r="D39">
        <v>3.2860279955207201E-3</v>
      </c>
      <c r="E39">
        <v>3.2948980963045898E-3</v>
      </c>
      <c r="F39">
        <v>2.13936170212766E-3</v>
      </c>
      <c r="G39">
        <v>3.67171108622621E-3</v>
      </c>
      <c r="H39">
        <v>3.6295879059350502E-3</v>
      </c>
    </row>
    <row r="40" spans="1:8">
      <c r="A40">
        <v>2.5</v>
      </c>
      <c r="B40">
        <v>5.2908818737270897E-3</v>
      </c>
      <c r="C40">
        <v>5.3398676171079497E-3</v>
      </c>
      <c r="D40">
        <v>5.7449395296752604E-3</v>
      </c>
      <c r="E40">
        <v>5.8078857782754697E-3</v>
      </c>
      <c r="F40">
        <v>3.5042821948488199E-3</v>
      </c>
      <c r="G40">
        <v>5.7449395296752604E-3</v>
      </c>
      <c r="H40">
        <v>5.7449395296752604E-3</v>
      </c>
    </row>
    <row r="41" spans="1:8">
      <c r="A41" t="s">
        <v>13</v>
      </c>
    </row>
    <row r="42" spans="1:8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</row>
    <row r="43" spans="1:8">
      <c r="A43">
        <v>0.2</v>
      </c>
      <c r="B43">
        <v>2.1801016479286299E-5</v>
      </c>
      <c r="C43">
        <v>4.4797628214998601E-5</v>
      </c>
      <c r="D43">
        <v>5.1563478024218503E-5</v>
      </c>
      <c r="E43">
        <v>5.1562117294867502E-5</v>
      </c>
      <c r="F43">
        <v>1.03599973322661E-4</v>
      </c>
      <c r="G43">
        <v>3.6577071710436901E-4</v>
      </c>
      <c r="H43">
        <v>3.66855304101839E-4</v>
      </c>
    </row>
    <row r="44" spans="1:8">
      <c r="A44">
        <v>0.5</v>
      </c>
      <c r="B44">
        <v>6.62497821526549E-4</v>
      </c>
      <c r="C44">
        <v>7.1948910763272502E-4</v>
      </c>
      <c r="D44">
        <v>1.29513088404133E-3</v>
      </c>
      <c r="E44">
        <v>1.2944326923077E-3</v>
      </c>
      <c r="F44">
        <v>9.0289123745819402E-4</v>
      </c>
      <c r="G44">
        <v>1.29513088404133E-3</v>
      </c>
      <c r="H44">
        <v>1.29513088404133E-3</v>
      </c>
    </row>
    <row r="45" spans="1:8">
      <c r="A45">
        <v>1</v>
      </c>
      <c r="B45">
        <v>2.4817561310238301E-3</v>
      </c>
      <c r="C45">
        <v>2.27695918367346E-3</v>
      </c>
      <c r="D45">
        <v>3.3204133685136501E-3</v>
      </c>
      <c r="E45">
        <v>3.3190005863383098E-3</v>
      </c>
      <c r="F45">
        <v>2.7157978637101202E-3</v>
      </c>
      <c r="G45">
        <v>3.82750747581356E-3</v>
      </c>
      <c r="H45">
        <v>3.7006748173550202E-3</v>
      </c>
    </row>
    <row r="46" spans="1:8">
      <c r="A46">
        <v>1.5</v>
      </c>
      <c r="B46">
        <v>4.7629457440534701E-3</v>
      </c>
      <c r="C46">
        <v>4.0869292313741E-3</v>
      </c>
      <c r="D46">
        <v>6.5376355316676604E-3</v>
      </c>
      <c r="E46">
        <v>6.5342545031958502E-3</v>
      </c>
      <c r="F46">
        <v>3.9102115930279699E-3</v>
      </c>
      <c r="G46">
        <v>6.5376355316676604E-3</v>
      </c>
      <c r="H46">
        <v>6.5376355316676604E-3</v>
      </c>
    </row>
    <row r="47" spans="1:8">
      <c r="A47">
        <v>2</v>
      </c>
      <c r="B47">
        <v>1.06010771458663E-2</v>
      </c>
      <c r="C47">
        <v>9.7767998946813803E-3</v>
      </c>
      <c r="D47">
        <v>9.8769669496664193E-3</v>
      </c>
      <c r="E47">
        <v>9.8970563978168693E-3</v>
      </c>
      <c r="F47">
        <v>6.0816837652746397E-3</v>
      </c>
      <c r="G47">
        <v>1.0799218465736799E-2</v>
      </c>
      <c r="H47">
        <v>1.11625572001233E-2</v>
      </c>
    </row>
    <row r="48" spans="1:8">
      <c r="A48">
        <v>2.5</v>
      </c>
      <c r="B48">
        <v>6.8851839584995996E-3</v>
      </c>
      <c r="C48">
        <v>6.7426891460495002E-3</v>
      </c>
      <c r="D48">
        <v>7.17796127727207E-3</v>
      </c>
      <c r="E48">
        <v>7.1872535760728303E-3</v>
      </c>
      <c r="F48">
        <v>6.2772308804205203E-3</v>
      </c>
      <c r="G48">
        <v>7.17796127727207E-3</v>
      </c>
      <c r="H48">
        <v>7.17796127727207E-3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workbookViewId="0">
      <selection activeCell="I5" sqref="I5"/>
    </sheetView>
  </sheetViews>
  <sheetFormatPr baseColWidth="10" defaultRowHeight="14.4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0.2</v>
      </c>
      <c r="B3">
        <v>0.987347570614871</v>
      </c>
      <c r="C3">
        <v>0.98193020623794502</v>
      </c>
      <c r="D3">
        <v>0.97978731824342402</v>
      </c>
      <c r="E3">
        <v>0.97978891768958998</v>
      </c>
      <c r="F3">
        <v>0.96861738216086901</v>
      </c>
      <c r="G3">
        <v>0.94863856773069</v>
      </c>
      <c r="H3">
        <v>0.94860959579329296</v>
      </c>
    </row>
    <row r="4" spans="1:8">
      <c r="A4">
        <v>0.5</v>
      </c>
      <c r="B4">
        <v>0.92438361944158998</v>
      </c>
      <c r="C4">
        <v>0.90775265474281597</v>
      </c>
      <c r="D4">
        <v>0.88679905138200299</v>
      </c>
      <c r="E4">
        <v>0.88639544889074895</v>
      </c>
      <c r="F4">
        <v>0.88097966535509697</v>
      </c>
      <c r="G4">
        <v>0.88679905138200299</v>
      </c>
      <c r="H4">
        <v>0.88679905138200299</v>
      </c>
    </row>
    <row r="5" spans="1:8">
      <c r="A5">
        <v>1</v>
      </c>
      <c r="B5">
        <v>0.83417930971764198</v>
      </c>
      <c r="C5">
        <v>0.809098305190463</v>
      </c>
      <c r="D5">
        <v>0.786803536214428</v>
      </c>
      <c r="E5">
        <v>0.78716244745765696</v>
      </c>
      <c r="F5">
        <v>0.76550025937649502</v>
      </c>
      <c r="G5">
        <v>0.77316510466992105</v>
      </c>
      <c r="H5">
        <v>0.76958348953931099</v>
      </c>
    </row>
    <row r="6" spans="1:8">
      <c r="A6">
        <v>1.5</v>
      </c>
      <c r="B6">
        <v>0.739938866165607</v>
      </c>
      <c r="C6">
        <v>0.73717312057192896</v>
      </c>
      <c r="D6">
        <v>0.68561325552354002</v>
      </c>
      <c r="E6">
        <v>0.68575708589329898</v>
      </c>
      <c r="F6">
        <v>0.667576343566607</v>
      </c>
      <c r="G6">
        <v>0.68561325552354002</v>
      </c>
      <c r="H6">
        <v>0.68561325552354002</v>
      </c>
    </row>
    <row r="7" spans="1:8">
      <c r="A7">
        <v>2</v>
      </c>
      <c r="B7">
        <v>0.57940240096442297</v>
      </c>
      <c r="C7">
        <v>0.66322061194740101</v>
      </c>
      <c r="D7">
        <v>0.61769997435430901</v>
      </c>
      <c r="E7">
        <v>0.61830562136759204</v>
      </c>
      <c r="F7">
        <v>0.58104393588009495</v>
      </c>
      <c r="G7">
        <v>0.60870853338180297</v>
      </c>
      <c r="H7">
        <v>0.60750246080860804</v>
      </c>
    </row>
    <row r="8" spans="1:8">
      <c r="A8">
        <v>2.5</v>
      </c>
      <c r="B8">
        <v>0.22297660673549799</v>
      </c>
      <c r="C8">
        <v>0.62154035598463198</v>
      </c>
      <c r="D8">
        <v>0.52597259592919898</v>
      </c>
      <c r="E8">
        <v>0.53021840378991802</v>
      </c>
      <c r="F8">
        <v>0.52119574105692801</v>
      </c>
      <c r="G8">
        <v>0.52597259592919898</v>
      </c>
      <c r="H8">
        <v>0.52597259592919898</v>
      </c>
    </row>
    <row r="9" spans="1:8">
      <c r="A9" t="s">
        <v>9</v>
      </c>
    </row>
    <row r="10" spans="1:8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</row>
    <row r="11" spans="1:8">
      <c r="A11">
        <v>0.2</v>
      </c>
      <c r="B11">
        <v>0.98753813600419504</v>
      </c>
      <c r="C11">
        <v>0.98191436776781704</v>
      </c>
      <c r="D11">
        <v>0.98140194361479105</v>
      </c>
      <c r="E11">
        <v>0.981402131761553</v>
      </c>
      <c r="F11">
        <v>0.97183600625104705</v>
      </c>
      <c r="G11">
        <v>0.95572105428403997</v>
      </c>
      <c r="H11">
        <v>0.95572905222526405</v>
      </c>
    </row>
    <row r="12" spans="1:8">
      <c r="A12">
        <v>0.5</v>
      </c>
      <c r="B12">
        <v>0.92703056431818298</v>
      </c>
      <c r="C12">
        <v>0.909635633234265</v>
      </c>
      <c r="D12">
        <v>0.90094581502464099</v>
      </c>
      <c r="E12">
        <v>0.90094449663988696</v>
      </c>
      <c r="F12">
        <v>0.88961831453223505</v>
      </c>
      <c r="G12">
        <v>0.90094581502464099</v>
      </c>
      <c r="H12">
        <v>0.90094581502464099</v>
      </c>
    </row>
    <row r="13" spans="1:8">
      <c r="A13">
        <v>1</v>
      </c>
      <c r="B13">
        <v>0.84137317222735197</v>
      </c>
      <c r="C13">
        <v>0.81594274366595998</v>
      </c>
      <c r="D13">
        <v>0.81055358876361605</v>
      </c>
      <c r="E13">
        <v>0.81066381971363899</v>
      </c>
      <c r="F13">
        <v>0.78419386521631496</v>
      </c>
      <c r="G13">
        <v>0.79963259006937903</v>
      </c>
      <c r="H13">
        <v>0.79910673433519497</v>
      </c>
    </row>
    <row r="14" spans="1:8">
      <c r="A14">
        <v>1.5</v>
      </c>
      <c r="B14">
        <v>0.790782954997309</v>
      </c>
      <c r="C14">
        <v>0.75662657708464798</v>
      </c>
      <c r="D14">
        <v>0.72776837613092304</v>
      </c>
      <c r="E14">
        <v>0.72791094658909095</v>
      </c>
      <c r="F14">
        <v>0.69913850666035404</v>
      </c>
      <c r="G14">
        <v>0.72776837613092304</v>
      </c>
      <c r="H14">
        <v>0.72776837613092304</v>
      </c>
    </row>
    <row r="15" spans="1:8">
      <c r="A15">
        <v>2</v>
      </c>
      <c r="B15">
        <v>0.71743071760641897</v>
      </c>
      <c r="C15">
        <v>0.68081216552362001</v>
      </c>
      <c r="D15">
        <v>0.66628082947009903</v>
      </c>
      <c r="E15">
        <v>0.66648331027270402</v>
      </c>
      <c r="F15">
        <v>0.63327822815720303</v>
      </c>
      <c r="G15">
        <v>0.659936184412236</v>
      </c>
      <c r="H15">
        <v>0.65879823495397405</v>
      </c>
    </row>
    <row r="16" spans="1:8">
      <c r="A16">
        <v>2.5</v>
      </c>
      <c r="B16">
        <v>0.68249687160427397</v>
      </c>
      <c r="C16">
        <v>0.64804784704669804</v>
      </c>
      <c r="D16">
        <v>0.59559657652925302</v>
      </c>
      <c r="E16">
        <v>0.59534295586142905</v>
      </c>
      <c r="F16">
        <v>0.57730055168780803</v>
      </c>
      <c r="G16">
        <v>0.59559657652925302</v>
      </c>
      <c r="H16">
        <v>0.59559657652925302</v>
      </c>
    </row>
    <row r="17" spans="1:8">
      <c r="A17" t="s">
        <v>10</v>
      </c>
    </row>
    <row r="18" spans="1:8">
      <c r="A18" t="s">
        <v>1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  <c r="H18" t="s">
        <v>8</v>
      </c>
    </row>
    <row r="19" spans="1:8">
      <c r="A19">
        <v>0.2</v>
      </c>
      <c r="B19">
        <v>0.98452979439948796</v>
      </c>
      <c r="C19">
        <v>0.97861469773881005</v>
      </c>
      <c r="D19">
        <v>0.97486205805286796</v>
      </c>
      <c r="E19">
        <v>0.97486229015652404</v>
      </c>
      <c r="F19">
        <v>0.95944280630707801</v>
      </c>
      <c r="G19">
        <v>0.93201027176531503</v>
      </c>
      <c r="H19">
        <v>0.93113533055471298</v>
      </c>
    </row>
    <row r="20" spans="1:8">
      <c r="A20">
        <v>0.5</v>
      </c>
      <c r="B20">
        <v>0.90585671972265103</v>
      </c>
      <c r="C20">
        <v>0.89027254333683703</v>
      </c>
      <c r="D20">
        <v>0.85085763319365004</v>
      </c>
      <c r="E20">
        <v>0.85044730227562004</v>
      </c>
      <c r="F20">
        <v>0.855868440773216</v>
      </c>
      <c r="G20">
        <v>0.85085763319365004</v>
      </c>
      <c r="H20">
        <v>0.85085763319365004</v>
      </c>
    </row>
    <row r="21" spans="1:8">
      <c r="A21">
        <v>1</v>
      </c>
      <c r="B21">
        <v>0.793949078855545</v>
      </c>
      <c r="C21">
        <v>0.77464839349779901</v>
      </c>
      <c r="D21">
        <v>0.72709212019038705</v>
      </c>
      <c r="E21">
        <v>0.72852858572829804</v>
      </c>
      <c r="F21">
        <v>0.72814057001217602</v>
      </c>
      <c r="G21">
        <v>0.70705943341931998</v>
      </c>
      <c r="H21">
        <v>0.68933578200350998</v>
      </c>
    </row>
    <row r="22" spans="1:8">
      <c r="A22">
        <v>1.5</v>
      </c>
      <c r="B22">
        <v>0.53165115718813205</v>
      </c>
      <c r="C22">
        <v>0.68270302588255405</v>
      </c>
      <c r="D22">
        <v>0.57788417811516302</v>
      </c>
      <c r="E22">
        <v>0.57959505705194403</v>
      </c>
      <c r="F22">
        <v>0.61525147882736597</v>
      </c>
      <c r="G22">
        <v>0.57788417811516302</v>
      </c>
      <c r="H22">
        <v>0.57788417811516302</v>
      </c>
    </row>
    <row r="23" spans="1:8">
      <c r="A23">
        <v>2</v>
      </c>
      <c r="B23">
        <v>-0.14054924132508101</v>
      </c>
      <c r="C23">
        <v>0.59598294789975603</v>
      </c>
      <c r="D23">
        <v>0.51252394126010004</v>
      </c>
      <c r="E23">
        <v>0.51375061160580404</v>
      </c>
      <c r="F23">
        <v>0.52206190371167405</v>
      </c>
      <c r="G23">
        <v>0.49590566926069901</v>
      </c>
      <c r="H23">
        <v>0.49053536545790499</v>
      </c>
    </row>
    <row r="24" spans="1:8">
      <c r="A24">
        <v>2.5</v>
      </c>
      <c r="B24">
        <v>-2.0599725840215002</v>
      </c>
      <c r="C24">
        <v>0.54675929176201399</v>
      </c>
      <c r="D24">
        <v>0.35696527433168801</v>
      </c>
      <c r="E24">
        <v>0.37319463488655902</v>
      </c>
      <c r="F24">
        <v>0.47040463298024698</v>
      </c>
      <c r="G24">
        <v>0.35696527433168801</v>
      </c>
      <c r="H24">
        <v>0.35696527433168801</v>
      </c>
    </row>
    <row r="25" spans="1:8">
      <c r="A25" t="s">
        <v>11</v>
      </c>
    </row>
    <row r="26" spans="1:8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</row>
    <row r="27" spans="1:8">
      <c r="A27">
        <v>0.2</v>
      </c>
      <c r="B27">
        <v>0.98796059228619704</v>
      </c>
      <c r="C27">
        <v>0.983100522731157</v>
      </c>
      <c r="D27">
        <v>0.98277650324812205</v>
      </c>
      <c r="E27">
        <v>0.98277642316018099</v>
      </c>
      <c r="F27">
        <v>0.972842552777473</v>
      </c>
      <c r="G27">
        <v>0.94810035366622103</v>
      </c>
      <c r="H27">
        <v>0.94666229385253897</v>
      </c>
    </row>
    <row r="28" spans="1:8">
      <c r="A28">
        <v>0.5</v>
      </c>
      <c r="B28">
        <v>0.922324711190185</v>
      </c>
      <c r="C28">
        <v>0.907811044887611</v>
      </c>
      <c r="D28">
        <v>0.884814903596157</v>
      </c>
      <c r="E28">
        <v>0.88480326145534005</v>
      </c>
      <c r="F28">
        <v>0.88832189617594803</v>
      </c>
      <c r="G28">
        <v>0.884814903596157</v>
      </c>
      <c r="H28">
        <v>0.884814903596157</v>
      </c>
    </row>
    <row r="29" spans="1:8">
      <c r="A29">
        <v>1</v>
      </c>
      <c r="B29">
        <v>0.82739206751161398</v>
      </c>
      <c r="C29">
        <v>0.80119797137508397</v>
      </c>
      <c r="D29">
        <v>0.78423225721528</v>
      </c>
      <c r="E29">
        <v>0.784233034741466</v>
      </c>
      <c r="F29">
        <v>0.77108313438051601</v>
      </c>
      <c r="G29">
        <v>0.76900207887800098</v>
      </c>
      <c r="H29">
        <v>0.76319500213972902</v>
      </c>
    </row>
    <row r="30" spans="1:8">
      <c r="A30">
        <v>1.5</v>
      </c>
      <c r="B30">
        <v>0.75501955079383298</v>
      </c>
      <c r="C30">
        <v>0.71461299666161804</v>
      </c>
      <c r="D30">
        <v>0.67352455865673899</v>
      </c>
      <c r="E30">
        <v>0.67350582450806595</v>
      </c>
      <c r="F30">
        <v>0.67165875068901904</v>
      </c>
      <c r="G30">
        <v>0.67352455865673899</v>
      </c>
      <c r="H30">
        <v>0.67352455865673899</v>
      </c>
    </row>
    <row r="31" spans="1:8">
      <c r="A31">
        <v>2</v>
      </c>
      <c r="B31">
        <v>0.67072854606962695</v>
      </c>
      <c r="C31">
        <v>0.63313648739082296</v>
      </c>
      <c r="D31">
        <v>0.59823563457292805</v>
      </c>
      <c r="E31">
        <v>0.598756290949225</v>
      </c>
      <c r="F31">
        <v>0.57052619519080605</v>
      </c>
      <c r="G31">
        <v>0.58898639493971405</v>
      </c>
      <c r="H31">
        <v>0.58750145130689402</v>
      </c>
    </row>
    <row r="32" spans="1:8">
      <c r="A32">
        <v>2.5</v>
      </c>
      <c r="B32">
        <v>0.63957870411070405</v>
      </c>
      <c r="C32">
        <v>0.58342070894948295</v>
      </c>
      <c r="D32">
        <v>0.51609339889820505</v>
      </c>
      <c r="E32">
        <v>0.51654916259655703</v>
      </c>
      <c r="F32">
        <v>0.49854053470744802</v>
      </c>
      <c r="G32">
        <v>0.51609339889820505</v>
      </c>
      <c r="H32">
        <v>0.51609339889820505</v>
      </c>
    </row>
    <row r="33" spans="1:8">
      <c r="A33" t="s">
        <v>12</v>
      </c>
    </row>
    <row r="34" spans="1:8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</row>
    <row r="35" spans="1:8">
      <c r="A35">
        <v>0.2</v>
      </c>
      <c r="B35">
        <v>0.991491545068931</v>
      </c>
      <c r="C35">
        <v>0.98847853764581195</v>
      </c>
      <c r="D35">
        <v>0.98846903251121099</v>
      </c>
      <c r="E35">
        <v>0.98846568834080795</v>
      </c>
      <c r="F35">
        <v>0.98133288677130204</v>
      </c>
      <c r="G35">
        <v>0.91417794730941804</v>
      </c>
      <c r="H35">
        <v>0.92417181838565099</v>
      </c>
    </row>
    <row r="36" spans="1:8">
      <c r="A36">
        <v>0.5</v>
      </c>
      <c r="B36">
        <v>0.95272249840933099</v>
      </c>
      <c r="C36">
        <v>0.94152325238600099</v>
      </c>
      <c r="D36">
        <v>0.81109984417040204</v>
      </c>
      <c r="E36">
        <v>0.81062785874439403</v>
      </c>
      <c r="F36">
        <v>0.89595579171332596</v>
      </c>
      <c r="G36">
        <v>0.81109984417040204</v>
      </c>
      <c r="H36">
        <v>0.81109984417040204</v>
      </c>
    </row>
    <row r="37" spans="1:8">
      <c r="A37">
        <v>1</v>
      </c>
      <c r="B37">
        <v>0.86838999681866302</v>
      </c>
      <c r="C37">
        <v>0.82990431283138899</v>
      </c>
      <c r="D37">
        <v>0.66177466816143604</v>
      </c>
      <c r="E37">
        <v>0.66011246636771304</v>
      </c>
      <c r="F37">
        <v>0.76160914781634903</v>
      </c>
      <c r="G37">
        <v>0.61023389910313997</v>
      </c>
      <c r="H37">
        <v>0.627492486547086</v>
      </c>
    </row>
    <row r="38" spans="1:8">
      <c r="A38">
        <v>1.5</v>
      </c>
      <c r="B38">
        <v>0.71188817661691495</v>
      </c>
      <c r="C38">
        <v>0.69686154726368199</v>
      </c>
      <c r="D38">
        <v>0.47411890582959698</v>
      </c>
      <c r="E38">
        <v>0.470121878923766</v>
      </c>
      <c r="F38">
        <v>0.64268908062709995</v>
      </c>
      <c r="G38">
        <v>0.47411890582959698</v>
      </c>
      <c r="H38">
        <v>0.47411890582959698</v>
      </c>
    </row>
    <row r="39" spans="1:8">
      <c r="A39">
        <v>2</v>
      </c>
      <c r="B39">
        <v>0.408686886454183</v>
      </c>
      <c r="C39">
        <v>0.35847652988047801</v>
      </c>
      <c r="D39">
        <v>0.37464913997760302</v>
      </c>
      <c r="E39">
        <v>0.367904942889138</v>
      </c>
      <c r="F39">
        <v>0.515224016797312</v>
      </c>
      <c r="G39">
        <v>0.34996110750279902</v>
      </c>
      <c r="H39">
        <v>0.34451367077267597</v>
      </c>
    </row>
    <row r="40" spans="1:8">
      <c r="A40">
        <v>2.5</v>
      </c>
      <c r="B40">
        <v>0.33158372301425698</v>
      </c>
      <c r="C40">
        <v>0.343467224032587</v>
      </c>
      <c r="D40">
        <v>-0.30733865509518499</v>
      </c>
      <c r="E40">
        <v>-0.33999639529675202</v>
      </c>
      <c r="F40">
        <v>0.31208227435610297</v>
      </c>
      <c r="G40">
        <v>-0.30733865509518499</v>
      </c>
      <c r="H40">
        <v>-0.30733865509518499</v>
      </c>
    </row>
    <row r="41" spans="1:8">
      <c r="A41" t="s">
        <v>13</v>
      </c>
    </row>
    <row r="42" spans="1:8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</row>
    <row r="43" spans="1:8">
      <c r="A43">
        <v>0.2</v>
      </c>
      <c r="B43">
        <v>0.98094429246880899</v>
      </c>
      <c r="C43">
        <v>0.97379820976435205</v>
      </c>
      <c r="D43">
        <v>0.97228608722273901</v>
      </c>
      <c r="E43">
        <v>0.97229125989929599</v>
      </c>
      <c r="F43">
        <v>0.95462567813791599</v>
      </c>
      <c r="G43">
        <v>0.90819234916313896</v>
      </c>
      <c r="H43">
        <v>0.90259098783591496</v>
      </c>
    </row>
    <row r="44" spans="1:8">
      <c r="A44">
        <v>0.5</v>
      </c>
      <c r="B44">
        <v>0.87034455220267903</v>
      </c>
      <c r="C44">
        <v>0.85539508826851496</v>
      </c>
      <c r="D44">
        <v>0.79267620206659195</v>
      </c>
      <c r="E44">
        <v>0.79279358696900004</v>
      </c>
      <c r="F44">
        <v>0.82050431304348004</v>
      </c>
      <c r="G44">
        <v>0.79267620206659195</v>
      </c>
      <c r="H44">
        <v>0.79267620206659195</v>
      </c>
    </row>
    <row r="45" spans="1:8">
      <c r="A45">
        <v>1</v>
      </c>
      <c r="B45">
        <v>0.69380262630766798</v>
      </c>
      <c r="C45">
        <v>0.68123528091236696</v>
      </c>
      <c r="D45">
        <v>0.61280605321020098</v>
      </c>
      <c r="E45">
        <v>0.61314881163881596</v>
      </c>
      <c r="F45">
        <v>0.61573037155219101</v>
      </c>
      <c r="G45">
        <v>0.58343522002345305</v>
      </c>
      <c r="H45">
        <v>0.572814603101237</v>
      </c>
    </row>
    <row r="46" spans="1:8">
      <c r="A46">
        <v>1.5</v>
      </c>
      <c r="B46">
        <v>0.43277656418321397</v>
      </c>
      <c r="C46">
        <v>0.53920822822881898</v>
      </c>
      <c r="D46">
        <v>0.426490103718769</v>
      </c>
      <c r="E46">
        <v>0.42773730708890201</v>
      </c>
      <c r="F46">
        <v>0.47553069260910702</v>
      </c>
      <c r="G46">
        <v>0.426490103718769</v>
      </c>
      <c r="H46">
        <v>0.426490103718769</v>
      </c>
    </row>
    <row r="47" spans="1:8">
      <c r="A47">
        <v>2</v>
      </c>
      <c r="B47">
        <v>-1.1053699233807299</v>
      </c>
      <c r="C47">
        <v>0.36353216350710899</v>
      </c>
      <c r="D47">
        <v>0.19234016100667101</v>
      </c>
      <c r="E47">
        <v>0.19729599863553701</v>
      </c>
      <c r="F47">
        <v>0.17942568228816799</v>
      </c>
      <c r="G47">
        <v>0.16850465721649499</v>
      </c>
      <c r="H47">
        <v>0.15536427582485399</v>
      </c>
    </row>
    <row r="48" spans="1:8">
      <c r="A48">
        <v>2.5</v>
      </c>
      <c r="B48">
        <v>0.2162299896249</v>
      </c>
      <c r="C48">
        <v>0.286344918994414</v>
      </c>
      <c r="D48">
        <v>-2.4569428261812E-2</v>
      </c>
      <c r="E48">
        <v>2.92645910995523E-2</v>
      </c>
      <c r="F48">
        <v>0.12074509618922501</v>
      </c>
      <c r="G48">
        <v>-2.4569428261812E-2</v>
      </c>
      <c r="H48">
        <v>-2.4569428261812E-2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topLeftCell="A13" workbookViewId="0">
      <selection sqref="A1:H48"/>
    </sheetView>
  </sheetViews>
  <sheetFormatPr baseColWidth="10" defaultRowHeight="14.4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0.2</v>
      </c>
      <c r="B3">
        <v>0.99812662297436705</v>
      </c>
      <c r="C3">
        <v>0.99596721767198504</v>
      </c>
      <c r="D3">
        <v>0.99508842744291204</v>
      </c>
      <c r="E3">
        <v>0.99508886384665596</v>
      </c>
      <c r="F3">
        <v>0.99012116213835799</v>
      </c>
      <c r="G3">
        <v>0.96916744181261705</v>
      </c>
      <c r="H3">
        <v>0.96873148562154299</v>
      </c>
    </row>
    <row r="4" spans="1:8">
      <c r="A4">
        <v>0.5</v>
      </c>
      <c r="B4">
        <v>0.94686176789618404</v>
      </c>
      <c r="C4">
        <v>0.93492388472287102</v>
      </c>
      <c r="D4">
        <v>0.89285757520623199</v>
      </c>
      <c r="E4">
        <v>0.89253862112675697</v>
      </c>
      <c r="F4">
        <v>0.91092486555699004</v>
      </c>
      <c r="G4">
        <v>0.89285757520623199</v>
      </c>
      <c r="H4">
        <v>0.89285757520623199</v>
      </c>
    </row>
    <row r="5" spans="1:8">
      <c r="A5">
        <v>1</v>
      </c>
      <c r="B5">
        <v>0.77538764286894202</v>
      </c>
      <c r="C5">
        <v>0.74855692711215305</v>
      </c>
      <c r="D5">
        <v>0.706483195882469</v>
      </c>
      <c r="E5">
        <v>0.70692830034169896</v>
      </c>
      <c r="F5">
        <v>0.69424366907913104</v>
      </c>
      <c r="G5">
        <v>0.68203415023010605</v>
      </c>
      <c r="H5">
        <v>0.67391512332887704</v>
      </c>
    </row>
    <row r="6" spans="1:8">
      <c r="A6">
        <v>1.5</v>
      </c>
      <c r="B6">
        <v>0.64426453572318598</v>
      </c>
      <c r="C6">
        <v>0.60447506137478402</v>
      </c>
      <c r="D6">
        <v>0.497204321344762</v>
      </c>
      <c r="E6">
        <v>0.49762747290409698</v>
      </c>
      <c r="F6">
        <v>0.46104072253826001</v>
      </c>
      <c r="G6">
        <v>0.497204321344762</v>
      </c>
      <c r="H6">
        <v>0.497204321344762</v>
      </c>
    </row>
    <row r="7" spans="1:8">
      <c r="A7">
        <v>2</v>
      </c>
      <c r="B7">
        <v>0.47065088216772699</v>
      </c>
      <c r="C7">
        <v>0.40661071877131499</v>
      </c>
      <c r="D7">
        <v>0.35140324849855398</v>
      </c>
      <c r="E7">
        <v>0.35217921232258298</v>
      </c>
      <c r="F7">
        <v>0.25941644388622798</v>
      </c>
      <c r="G7">
        <v>0.34015179990438599</v>
      </c>
      <c r="H7">
        <v>0.33326514814438002</v>
      </c>
    </row>
    <row r="8" spans="1:8">
      <c r="A8">
        <v>2.5</v>
      </c>
      <c r="B8">
        <v>0.40047169715744002</v>
      </c>
      <c r="C8">
        <v>0.31961820062037599</v>
      </c>
      <c r="D8">
        <v>0.20160772087147699</v>
      </c>
      <c r="E8">
        <v>0.20465978029187801</v>
      </c>
      <c r="F8">
        <v>8.2397832787814707E-2</v>
      </c>
      <c r="G8">
        <v>0.20160772087147699</v>
      </c>
      <c r="H8">
        <v>0.20160772087147699</v>
      </c>
    </row>
    <row r="9" spans="1:8">
      <c r="A9" t="s">
        <v>9</v>
      </c>
    </row>
    <row r="10" spans="1:8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</row>
    <row r="11" spans="1:8">
      <c r="A11">
        <v>0.2</v>
      </c>
      <c r="B11">
        <v>0.99792076446450595</v>
      </c>
      <c r="C11">
        <v>0.99548777864899496</v>
      </c>
      <c r="D11">
        <v>0.99516533860545497</v>
      </c>
      <c r="E11">
        <v>0.99516517545982197</v>
      </c>
      <c r="F11">
        <v>0.99016978917022203</v>
      </c>
      <c r="G11">
        <v>0.96757672211803603</v>
      </c>
      <c r="H11">
        <v>0.96823270731017297</v>
      </c>
    </row>
    <row r="12" spans="1:8">
      <c r="A12">
        <v>0.5</v>
      </c>
      <c r="B12">
        <v>0.94142001320950697</v>
      </c>
      <c r="C12">
        <v>0.92871098012793196</v>
      </c>
      <c r="D12">
        <v>0.88882583860493103</v>
      </c>
      <c r="E12">
        <v>0.88881042860873205</v>
      </c>
      <c r="F12">
        <v>0.90655732475046702</v>
      </c>
      <c r="G12">
        <v>0.88882583860493103</v>
      </c>
      <c r="H12">
        <v>0.88882583860493103</v>
      </c>
    </row>
    <row r="13" spans="1:8">
      <c r="A13">
        <v>1</v>
      </c>
      <c r="B13">
        <v>0.75520380690688105</v>
      </c>
      <c r="C13">
        <v>0.72808341775989105</v>
      </c>
      <c r="D13">
        <v>0.70316997716615903</v>
      </c>
      <c r="E13">
        <v>0.70331724921937799</v>
      </c>
      <c r="F13">
        <v>0.68062303607840002</v>
      </c>
      <c r="G13">
        <v>0.68271853194582499</v>
      </c>
      <c r="H13">
        <v>0.68475439405488703</v>
      </c>
    </row>
    <row r="14" spans="1:8">
      <c r="A14">
        <v>1.5</v>
      </c>
      <c r="B14">
        <v>0.64747284145864303</v>
      </c>
      <c r="C14">
        <v>0.60915395824581198</v>
      </c>
      <c r="D14">
        <v>0.51786211298929796</v>
      </c>
      <c r="E14">
        <v>0.51817199680496195</v>
      </c>
      <c r="F14">
        <v>0.466059684611833</v>
      </c>
      <c r="G14">
        <v>0.51786211298929796</v>
      </c>
      <c r="H14">
        <v>0.51786211298929796</v>
      </c>
    </row>
    <row r="15" spans="1:8">
      <c r="A15">
        <v>2</v>
      </c>
      <c r="B15">
        <v>0.466417121804931</v>
      </c>
      <c r="C15">
        <v>0.40327114353140803</v>
      </c>
      <c r="D15">
        <v>0.38038975743820003</v>
      </c>
      <c r="E15">
        <v>0.38092115501568202</v>
      </c>
      <c r="F15">
        <v>0.31007013529424599</v>
      </c>
      <c r="G15">
        <v>0.372005833388875</v>
      </c>
      <c r="H15">
        <v>0.368677079419926</v>
      </c>
    </row>
    <row r="16" spans="1:8">
      <c r="A16">
        <v>2.5</v>
      </c>
      <c r="B16">
        <v>0.41054185474131499</v>
      </c>
      <c r="C16">
        <v>0.33255603634727399</v>
      </c>
      <c r="D16">
        <v>0.27339903986995301</v>
      </c>
      <c r="E16">
        <v>0.27221080821236299</v>
      </c>
      <c r="F16">
        <v>0.109475094120978</v>
      </c>
      <c r="G16">
        <v>0.27339903986995301</v>
      </c>
      <c r="H16">
        <v>0.27339903986995301</v>
      </c>
    </row>
    <row r="17" spans="1:8">
      <c r="A17" t="s">
        <v>10</v>
      </c>
    </row>
    <row r="18" spans="1:8">
      <c r="A18" t="s">
        <v>1</v>
      </c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  <c r="H18" t="s">
        <v>8</v>
      </c>
    </row>
    <row r="19" spans="1:8">
      <c r="A19">
        <v>0.2</v>
      </c>
      <c r="B19">
        <v>0.99816339237047402</v>
      </c>
      <c r="C19">
        <v>0.99608547428121696</v>
      </c>
      <c r="D19">
        <v>0.99481881155299201</v>
      </c>
      <c r="E19">
        <v>0.99481911592585404</v>
      </c>
      <c r="F19">
        <v>0.99000056398494896</v>
      </c>
      <c r="G19">
        <v>0.96871319384559496</v>
      </c>
      <c r="H19">
        <v>0.96696895176906505</v>
      </c>
    </row>
    <row r="20" spans="1:8">
      <c r="A20">
        <v>0.5</v>
      </c>
      <c r="B20">
        <v>0.94864839721866001</v>
      </c>
      <c r="C20">
        <v>0.93723504004518599</v>
      </c>
      <c r="D20">
        <v>0.88991013182728496</v>
      </c>
      <c r="E20">
        <v>0.889622477480428</v>
      </c>
      <c r="F20">
        <v>0.91438403053516604</v>
      </c>
      <c r="G20">
        <v>0.88991013182728496</v>
      </c>
      <c r="H20">
        <v>0.88991013182728496</v>
      </c>
    </row>
    <row r="21" spans="1:8">
      <c r="A21">
        <v>1</v>
      </c>
      <c r="B21">
        <v>0.78253563733015796</v>
      </c>
      <c r="C21">
        <v>0.75323193957555501</v>
      </c>
      <c r="D21">
        <v>0.68297422860879697</v>
      </c>
      <c r="E21">
        <v>0.68434305991352495</v>
      </c>
      <c r="F21">
        <v>0.70645217932565296</v>
      </c>
      <c r="G21">
        <v>0.65111105344620801</v>
      </c>
      <c r="H21">
        <v>0.61636030925763796</v>
      </c>
    </row>
    <row r="22" spans="1:8">
      <c r="A22">
        <v>1.5</v>
      </c>
      <c r="B22">
        <v>0.60262847411744302</v>
      </c>
      <c r="C22">
        <v>0.56310718817677297</v>
      </c>
      <c r="D22">
        <v>0.412527848102203</v>
      </c>
      <c r="E22">
        <v>0.41431626986828302</v>
      </c>
      <c r="F22">
        <v>0.44591765515266502</v>
      </c>
      <c r="G22">
        <v>0.412527848102203</v>
      </c>
      <c r="H22">
        <v>0.412527848102203</v>
      </c>
    </row>
    <row r="23" spans="1:8">
      <c r="A23">
        <v>2</v>
      </c>
      <c r="B23">
        <v>0.45934402445210998</v>
      </c>
      <c r="C23">
        <v>0.39511647920048698</v>
      </c>
      <c r="D23">
        <v>0.27182534278659098</v>
      </c>
      <c r="E23">
        <v>0.272411691110446</v>
      </c>
      <c r="F23">
        <v>0.25023150381925802</v>
      </c>
      <c r="G23">
        <v>0.25579200714606298</v>
      </c>
      <c r="H23">
        <v>0.23974907901588599</v>
      </c>
    </row>
    <row r="24" spans="1:8">
      <c r="A24">
        <v>2.5</v>
      </c>
      <c r="B24">
        <v>0.368380381504329</v>
      </c>
      <c r="C24">
        <v>0.29131915595463198</v>
      </c>
      <c r="D24">
        <v>2.8461794890809099E-2</v>
      </c>
      <c r="E24">
        <v>4.1659370813131397E-2</v>
      </c>
      <c r="F24">
        <v>0.15559252233037599</v>
      </c>
      <c r="G24">
        <v>2.8461794890809099E-2</v>
      </c>
      <c r="H24">
        <v>2.8461794890809099E-2</v>
      </c>
    </row>
    <row r="25" spans="1:8">
      <c r="A25" t="s">
        <v>11</v>
      </c>
    </row>
    <row r="26" spans="1:8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</row>
    <row r="27" spans="1:8">
      <c r="A27">
        <v>0.2</v>
      </c>
      <c r="B27">
        <v>0.99826816010064101</v>
      </c>
      <c r="C27">
        <v>0.99629437569364598</v>
      </c>
      <c r="D27">
        <v>0.99626258966584802</v>
      </c>
      <c r="E27">
        <v>0.996262241263279</v>
      </c>
      <c r="F27">
        <v>0.992315423083311</v>
      </c>
      <c r="G27">
        <v>0.97262650851183796</v>
      </c>
      <c r="H27">
        <v>0.96974589141108603</v>
      </c>
    </row>
    <row r="28" spans="1:8">
      <c r="A28">
        <v>0.5</v>
      </c>
      <c r="B28">
        <v>0.946938191600315</v>
      </c>
      <c r="C28">
        <v>0.93411221714466197</v>
      </c>
      <c r="D28">
        <v>0.89979665470200498</v>
      </c>
      <c r="E28">
        <v>0.89985386479824303</v>
      </c>
      <c r="F28">
        <v>0.91872008478687694</v>
      </c>
      <c r="G28">
        <v>0.89979665470200498</v>
      </c>
      <c r="H28">
        <v>0.89979665470200498</v>
      </c>
    </row>
    <row r="29" spans="1:8">
      <c r="A29">
        <v>1</v>
      </c>
      <c r="B29">
        <v>0.78953396619018401</v>
      </c>
      <c r="C29">
        <v>0.75836986602095602</v>
      </c>
      <c r="D29">
        <v>0.72605390885434795</v>
      </c>
      <c r="E29">
        <v>0.72623791149037198</v>
      </c>
      <c r="F29">
        <v>0.72649986279077505</v>
      </c>
      <c r="G29">
        <v>0.69647536059480097</v>
      </c>
      <c r="H29">
        <v>0.67481694885032695</v>
      </c>
    </row>
    <row r="30" spans="1:8">
      <c r="A30">
        <v>1.5</v>
      </c>
      <c r="B30">
        <v>0.64072128015216601</v>
      </c>
      <c r="C30">
        <v>0.58784017021854895</v>
      </c>
      <c r="D30">
        <v>0.49316368574063701</v>
      </c>
      <c r="E30">
        <v>0.49401833209210499</v>
      </c>
      <c r="F30">
        <v>0.54422650081354795</v>
      </c>
      <c r="G30">
        <v>0.49316368574063701</v>
      </c>
      <c r="H30">
        <v>0.49316368574063701</v>
      </c>
    </row>
    <row r="31" spans="1:8">
      <c r="A31">
        <v>2</v>
      </c>
      <c r="B31">
        <v>0.40853449452577301</v>
      </c>
      <c r="C31">
        <v>0.32797950215278598</v>
      </c>
      <c r="D31">
        <v>0.335819884530483</v>
      </c>
      <c r="E31">
        <v>0.33774049393785199</v>
      </c>
      <c r="F31">
        <v>0.316144254508616</v>
      </c>
      <c r="G31">
        <v>0.31957714372559198</v>
      </c>
      <c r="H31">
        <v>0.30355946441001902</v>
      </c>
    </row>
    <row r="32" spans="1:8">
      <c r="A32">
        <v>2.5</v>
      </c>
      <c r="B32">
        <v>0.356062367476146</v>
      </c>
      <c r="C32">
        <v>0.24268897444942</v>
      </c>
      <c r="D32">
        <v>0.19633131078927399</v>
      </c>
      <c r="E32">
        <v>0.19920340503654499</v>
      </c>
      <c r="F32">
        <v>0.135668881682181</v>
      </c>
      <c r="G32">
        <v>0.19633131078927399</v>
      </c>
      <c r="H32">
        <v>0.19633131078927399</v>
      </c>
    </row>
    <row r="33" spans="1:8">
      <c r="A33" t="s">
        <v>12</v>
      </c>
    </row>
    <row r="34" spans="1:8">
      <c r="A34" t="s">
        <v>1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</row>
    <row r="35" spans="1:8">
      <c r="A35">
        <v>0.2</v>
      </c>
      <c r="B35">
        <v>0.99967588547189801</v>
      </c>
      <c r="C35">
        <v>0.99921397985153904</v>
      </c>
      <c r="D35">
        <v>0.99926800000000104</v>
      </c>
      <c r="E35">
        <v>0.99926788677130196</v>
      </c>
      <c r="F35">
        <v>0.99830552578475296</v>
      </c>
      <c r="G35">
        <v>0.98466728363228695</v>
      </c>
      <c r="H35">
        <v>0.98640413789237702</v>
      </c>
    </row>
    <row r="36" spans="1:8">
      <c r="A36">
        <v>0.5</v>
      </c>
      <c r="B36">
        <v>0.99049692258748701</v>
      </c>
      <c r="C36">
        <v>0.98782695970307699</v>
      </c>
      <c r="D36">
        <v>0.94417797982062801</v>
      </c>
      <c r="E36">
        <v>0.94402936322870101</v>
      </c>
      <c r="F36">
        <v>0.97687912653975395</v>
      </c>
      <c r="G36">
        <v>0.94417797982062801</v>
      </c>
      <c r="H36">
        <v>0.94417797982062801</v>
      </c>
    </row>
    <row r="37" spans="1:8">
      <c r="A37">
        <v>1</v>
      </c>
      <c r="B37">
        <v>0.94871780911983095</v>
      </c>
      <c r="C37">
        <v>0.93523977200424302</v>
      </c>
      <c r="D37">
        <v>0.837724579596412</v>
      </c>
      <c r="E37">
        <v>0.83674916143497802</v>
      </c>
      <c r="F37">
        <v>0.90007315453527403</v>
      </c>
      <c r="G37">
        <v>0.79334221524663595</v>
      </c>
      <c r="H37">
        <v>0.81072187443946198</v>
      </c>
    </row>
    <row r="38" spans="1:8">
      <c r="A38">
        <v>1.5</v>
      </c>
      <c r="B38">
        <v>0.87989376616915405</v>
      </c>
      <c r="C38">
        <v>0.85747357338308505</v>
      </c>
      <c r="D38">
        <v>0.64269264798206105</v>
      </c>
      <c r="E38">
        <v>0.63864833968609802</v>
      </c>
      <c r="F38">
        <v>0.79173439865621398</v>
      </c>
      <c r="G38">
        <v>0.64269264798206105</v>
      </c>
      <c r="H38">
        <v>0.64269264798206105</v>
      </c>
    </row>
    <row r="39" spans="1:8">
      <c r="A39">
        <v>2</v>
      </c>
      <c r="B39">
        <v>0.470821143426295</v>
      </c>
      <c r="C39">
        <v>0.38886834462151398</v>
      </c>
      <c r="D39">
        <v>0.44834242665173601</v>
      </c>
      <c r="E39">
        <v>0.44380271444568897</v>
      </c>
      <c r="F39">
        <v>0.57871398432250798</v>
      </c>
      <c r="G39">
        <v>0.41230710302351598</v>
      </c>
      <c r="H39">
        <v>0.40833632362821998</v>
      </c>
    </row>
    <row r="40" spans="1:8">
      <c r="A40">
        <v>2.5</v>
      </c>
      <c r="B40">
        <v>0.29473914052953198</v>
      </c>
      <c r="C40">
        <v>0.30249124847250503</v>
      </c>
      <c r="D40">
        <v>-0.81825894512877995</v>
      </c>
      <c r="E40">
        <v>-0.85994751399776004</v>
      </c>
      <c r="F40">
        <v>0.22106655431131</v>
      </c>
      <c r="G40">
        <v>-0.81825894512877995</v>
      </c>
      <c r="H40">
        <v>-0.81825894512877995</v>
      </c>
    </row>
    <row r="41" spans="1:8">
      <c r="A41" t="s">
        <v>13</v>
      </c>
    </row>
    <row r="42" spans="1:8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</row>
    <row r="43" spans="1:8">
      <c r="A43">
        <v>0.2</v>
      </c>
      <c r="B43">
        <v>0.99705327829970902</v>
      </c>
      <c r="C43">
        <v>0.99387020853226704</v>
      </c>
      <c r="D43">
        <v>0.99334452864335399</v>
      </c>
      <c r="E43">
        <v>0.99334575003402004</v>
      </c>
      <c r="F43">
        <v>0.98701498786180997</v>
      </c>
      <c r="G43">
        <v>0.95787496897537205</v>
      </c>
      <c r="H43">
        <v>0.94959509745403403</v>
      </c>
    </row>
    <row r="44" spans="1:8">
      <c r="A44">
        <v>0.5</v>
      </c>
      <c r="B44">
        <v>0.91429688042600799</v>
      </c>
      <c r="C44">
        <v>0.89572116669355994</v>
      </c>
      <c r="D44">
        <v>0.84219917867393601</v>
      </c>
      <c r="E44">
        <v>0.84242366446612804</v>
      </c>
      <c r="F44">
        <v>0.86950494755852903</v>
      </c>
      <c r="G44">
        <v>0.84219917867393601</v>
      </c>
      <c r="H44">
        <v>0.84219917867393601</v>
      </c>
    </row>
    <row r="45" spans="1:8">
      <c r="A45">
        <v>1</v>
      </c>
      <c r="B45">
        <v>0.649240766249358</v>
      </c>
      <c r="C45">
        <v>0.603353250557365</v>
      </c>
      <c r="D45">
        <v>0.56268332043388902</v>
      </c>
      <c r="E45">
        <v>0.56342457417179703</v>
      </c>
      <c r="F45">
        <v>0.54218160478637101</v>
      </c>
      <c r="G45">
        <v>0.519889478012312</v>
      </c>
      <c r="H45">
        <v>0.46887525853585699</v>
      </c>
    </row>
    <row r="46" spans="1:8">
      <c r="A46">
        <v>1.5</v>
      </c>
      <c r="B46">
        <v>0.37546087890701801</v>
      </c>
      <c r="C46">
        <v>0.29633563573815602</v>
      </c>
      <c r="D46">
        <v>0.236566267141197</v>
      </c>
      <c r="E46">
        <v>0.23944555244044199</v>
      </c>
      <c r="F46">
        <v>0.204445445750574</v>
      </c>
      <c r="G46">
        <v>0.236566267141197</v>
      </c>
      <c r="H46">
        <v>0.236566267141197</v>
      </c>
    </row>
    <row r="47" spans="1:8">
      <c r="A47">
        <v>2</v>
      </c>
      <c r="B47">
        <v>-0.29369208056871998</v>
      </c>
      <c r="C47">
        <v>-0.420436413375461</v>
      </c>
      <c r="D47">
        <v>-0.25415806685870301</v>
      </c>
      <c r="E47">
        <v>-0.248248087780473</v>
      </c>
      <c r="F47">
        <v>-0.66426829783805597</v>
      </c>
      <c r="G47">
        <v>-0.275769598544573</v>
      </c>
      <c r="H47">
        <v>-0.32587576503237797</v>
      </c>
    </row>
    <row r="48" spans="1:8">
      <c r="A48">
        <v>2.5</v>
      </c>
      <c r="B48">
        <v>-0.46709425299281698</v>
      </c>
      <c r="C48">
        <v>-0.70054062849161902</v>
      </c>
      <c r="D48">
        <v>-0.73688544863459304</v>
      </c>
      <c r="E48">
        <v>-0.69589358156335701</v>
      </c>
      <c r="F48">
        <v>-0.86642872181340302</v>
      </c>
      <c r="G48">
        <v>-0.73688544863459304</v>
      </c>
      <c r="H48">
        <v>-0.73688544863459304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98E6-DEF9-463F-8866-9B56885EF698}">
  <dimension ref="A1:BU49"/>
  <sheetViews>
    <sheetView tabSelected="1" topLeftCell="AW1" zoomScale="70" zoomScaleNormal="70" workbookViewId="0">
      <selection activeCell="BN51" sqref="BN51"/>
    </sheetView>
  </sheetViews>
  <sheetFormatPr baseColWidth="10" defaultRowHeight="14.4"/>
  <sheetData>
    <row r="1" spans="1:73">
      <c r="A1" t="s">
        <v>14</v>
      </c>
      <c r="J1" t="s">
        <v>17</v>
      </c>
      <c r="S1" t="s">
        <v>16</v>
      </c>
      <c r="AB1" t="s">
        <v>15</v>
      </c>
      <c r="AN1" t="s">
        <v>18</v>
      </c>
      <c r="AW1" t="s">
        <v>19</v>
      </c>
      <c r="BJ1" t="s">
        <v>22</v>
      </c>
    </row>
    <row r="2" spans="1:73" ht="15" thickBot="1">
      <c r="A2" t="s">
        <v>0</v>
      </c>
      <c r="J2" t="s">
        <v>0</v>
      </c>
      <c r="S2" t="s">
        <v>0</v>
      </c>
      <c r="AB2" t="s">
        <v>0</v>
      </c>
      <c r="AN2" t="s">
        <v>0</v>
      </c>
      <c r="AW2" t="s">
        <v>0</v>
      </c>
      <c r="BG2" t="s">
        <v>20</v>
      </c>
      <c r="BH2" t="s">
        <v>21</v>
      </c>
      <c r="BJ2" t="s">
        <v>0</v>
      </c>
      <c r="BT2" t="s">
        <v>23</v>
      </c>
    </row>
    <row r="3" spans="1:73" ht="15" thickBot="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24</v>
      </c>
      <c r="J3" t="s">
        <v>1</v>
      </c>
      <c r="K3" t="s">
        <v>2</v>
      </c>
      <c r="L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S3" t="s">
        <v>1</v>
      </c>
      <c r="T3" t="s">
        <v>2</v>
      </c>
      <c r="U3" t="s">
        <v>3</v>
      </c>
      <c r="V3" t="s">
        <v>4</v>
      </c>
      <c r="W3" t="s">
        <v>5</v>
      </c>
      <c r="X3" t="s">
        <v>6</v>
      </c>
      <c r="Y3" t="s">
        <v>7</v>
      </c>
      <c r="Z3" t="s">
        <v>8</v>
      </c>
      <c r="AB3" t="s">
        <v>1</v>
      </c>
      <c r="AC3" t="s">
        <v>2</v>
      </c>
      <c r="AD3" t="s">
        <v>3</v>
      </c>
      <c r="AE3" t="s">
        <v>4</v>
      </c>
      <c r="AF3" t="s">
        <v>5</v>
      </c>
      <c r="AG3" t="s">
        <v>6</v>
      </c>
      <c r="AH3" t="s">
        <v>7</v>
      </c>
      <c r="AI3" t="s">
        <v>8</v>
      </c>
      <c r="AK3" t="s">
        <v>14</v>
      </c>
      <c r="AL3">
        <v>5.3178969999999999E-2</v>
      </c>
      <c r="AN3" t="s">
        <v>1</v>
      </c>
      <c r="AO3" t="s">
        <v>2</v>
      </c>
      <c r="AP3" t="s">
        <v>3</v>
      </c>
      <c r="AQ3" t="s">
        <v>4</v>
      </c>
      <c r="AR3" t="s">
        <v>5</v>
      </c>
      <c r="AS3" t="s">
        <v>6</v>
      </c>
      <c r="AT3" t="s">
        <v>7</v>
      </c>
      <c r="AU3" t="s">
        <v>8</v>
      </c>
      <c r="AW3" t="s">
        <v>1</v>
      </c>
      <c r="AX3" t="s">
        <v>2</v>
      </c>
      <c r="AY3" t="s">
        <v>3</v>
      </c>
      <c r="AZ3" t="s">
        <v>4</v>
      </c>
      <c r="BA3" t="s">
        <v>5</v>
      </c>
      <c r="BB3" t="s">
        <v>6</v>
      </c>
      <c r="BC3" t="s">
        <v>7</v>
      </c>
      <c r="BD3" t="s">
        <v>8</v>
      </c>
      <c r="BG3" t="s">
        <v>14</v>
      </c>
      <c r="BH3">
        <v>0.25</v>
      </c>
      <c r="BJ3" s="2" t="s">
        <v>1</v>
      </c>
      <c r="BK3" s="7" t="s">
        <v>2</v>
      </c>
      <c r="BL3" s="8" t="s">
        <v>3</v>
      </c>
      <c r="BM3" s="8" t="s">
        <v>4</v>
      </c>
      <c r="BN3" s="8" t="s">
        <v>5</v>
      </c>
      <c r="BO3" s="8" t="s">
        <v>6</v>
      </c>
      <c r="BP3" s="8" t="s">
        <v>7</v>
      </c>
      <c r="BQ3" s="8" t="s">
        <v>8</v>
      </c>
      <c r="BR3" s="9" t="s">
        <v>24</v>
      </c>
    </row>
    <row r="4" spans="1:73">
      <c r="A4">
        <v>0.2</v>
      </c>
      <c r="B4">
        <v>1.25032302200272E-3</v>
      </c>
      <c r="C4">
        <v>1.71730071731964E-3</v>
      </c>
      <c r="D4">
        <v>1.84761847425933E-3</v>
      </c>
      <c r="E4">
        <v>1.8475623799017701E-3</v>
      </c>
      <c r="F4">
        <v>2.9366889866594302E-3</v>
      </c>
      <c r="G4">
        <v>5.5217363694592099E-3</v>
      </c>
      <c r="H4">
        <v>5.5248882184320697E-3</v>
      </c>
      <c r="I4" s="3">
        <v>9.4601188688432196E-3</v>
      </c>
      <c r="J4">
        <v>0.2</v>
      </c>
      <c r="K4">
        <v>2.4189770981092501E-5</v>
      </c>
      <c r="L4">
        <v>5.1170579827836901E-5</v>
      </c>
      <c r="M4">
        <v>6.3950537328279699E-5</v>
      </c>
      <c r="N4">
        <v>6.39416670440551E-5</v>
      </c>
      <c r="O4">
        <v>1.19235080339118E-4</v>
      </c>
      <c r="P4">
        <v>3.6749003306137899E-4</v>
      </c>
      <c r="Q4">
        <v>3.65595858584532E-4</v>
      </c>
      <c r="R4" s="4">
        <v>1.6317432922453999E-3</v>
      </c>
      <c r="S4">
        <v>0.2</v>
      </c>
      <c r="T4">
        <v>0.987347570614871</v>
      </c>
      <c r="U4">
        <v>0.98193020623794502</v>
      </c>
      <c r="V4">
        <v>0.97978731824342402</v>
      </c>
      <c r="W4">
        <v>0.97978891768958998</v>
      </c>
      <c r="X4">
        <v>0.96861738216086901</v>
      </c>
      <c r="Y4">
        <v>0.94863856773069</v>
      </c>
      <c r="Z4">
        <v>0.94860959579329296</v>
      </c>
      <c r="AA4" s="5">
        <v>0.86035697553303303</v>
      </c>
      <c r="AB4">
        <v>0.2</v>
      </c>
      <c r="AC4">
        <v>0.99812662297436705</v>
      </c>
      <c r="AD4">
        <v>0.99596721767198504</v>
      </c>
      <c r="AE4">
        <v>0.99508842744291204</v>
      </c>
      <c r="AF4">
        <v>0.99508886384665596</v>
      </c>
      <c r="AG4">
        <v>0.99012116213835799</v>
      </c>
      <c r="AH4">
        <v>0.96916744181261705</v>
      </c>
      <c r="AI4">
        <v>0.96873148562154299</v>
      </c>
      <c r="AJ4" s="6">
        <v>0.891629761455077</v>
      </c>
      <c r="AK4" t="s">
        <v>17</v>
      </c>
      <c r="AL4">
        <v>9.4680609999999998E-3</v>
      </c>
      <c r="AN4">
        <v>0.2</v>
      </c>
      <c r="AO4">
        <f>1-(B4/$AL$3)</f>
        <v>0.97648839340057325</v>
      </c>
      <c r="AP4">
        <f>1-(C4/$AL$3)</f>
        <v>0.96770714593908758</v>
      </c>
      <c r="AQ4">
        <f>1-(D4/$AL$3)</f>
        <v>0.96525659533722952</v>
      </c>
      <c r="AR4">
        <f>1-(E4/$AL$3)</f>
        <v>0.96525765015941889</v>
      </c>
      <c r="AS4">
        <f>1-(F4/$AL$3)</f>
        <v>0.94477724960337839</v>
      </c>
      <c r="AT4">
        <f>1-(G4/$AL$3)</f>
        <v>0.89616691768458079</v>
      </c>
      <c r="AU4">
        <f>1-(H4/$AL$3)</f>
        <v>0.89610764897417028</v>
      </c>
      <c r="AV4" s="6">
        <f>1-(I4/$AL$3)</f>
        <v>0.82210789586855071</v>
      </c>
      <c r="AW4">
        <v>0.2</v>
      </c>
      <c r="AX4">
        <f>1-(K4/$AL$4)</f>
        <v>0.99744511880720954</v>
      </c>
      <c r="AY4">
        <f>1-(L4/$AL$4)</f>
        <v>0.99459545308930342</v>
      </c>
      <c r="AZ4">
        <f>1-(M4/$AL$4)</f>
        <v>0.99324565638853834</v>
      </c>
      <c r="BA4">
        <f>1-(N4/$AL$4)</f>
        <v>0.9932465932524035</v>
      </c>
      <c r="BB4">
        <f>1-(O4/$AL$4)</f>
        <v>0.98740659990053736</v>
      </c>
      <c r="BC4">
        <f>1-(P4/$AL$4)</f>
        <v>0.96118634712414941</v>
      </c>
      <c r="BD4">
        <f>1-(Q4/$AL$4)</f>
        <v>0.96138640651084395</v>
      </c>
      <c r="BE4" s="6">
        <f>1-(R4/$AL$4)</f>
        <v>0.82765813483400663</v>
      </c>
      <c r="BG4" t="s">
        <v>17</v>
      </c>
      <c r="BH4">
        <v>0.25</v>
      </c>
      <c r="BJ4" s="10">
        <v>0.2</v>
      </c>
      <c r="BK4" s="11">
        <f>($BH$3*AO4)+($BH$4*AX4)+($BH$5*T4)+($BH$6*AC4)</f>
        <v>0.98985192644925513</v>
      </c>
      <c r="BL4" s="12">
        <f>($BH$3*AP4)+($BH$4*AY4)+($BH$5*U4)+($BH$6*AD4)</f>
        <v>0.98505000573458035</v>
      </c>
      <c r="BM4" s="21">
        <f>($BH$3*AQ4)+($BH$4*AZ4)+($BH$5*V4)+($BH$6*AE4)</f>
        <v>0.98334449935302604</v>
      </c>
      <c r="BN4" s="12">
        <f>($BH$3*AR4)+($BH$4*BA4)+($BH$5*W4)+($BH$6*AF4)</f>
        <v>0.983345506237017</v>
      </c>
      <c r="BO4" s="12">
        <f>($BH$3*AS4)+($BH$4*BB4)+($BH$5*X4)+($BH$6*AG4)</f>
        <v>0.97273059845078569</v>
      </c>
      <c r="BP4" s="12">
        <f>($BH$3*AT4)+($BH$4*BC4)+($BH$5*Y4)+($BH$6*AH4)</f>
        <v>0.94378981858800937</v>
      </c>
      <c r="BQ4" s="12">
        <f>($BH$3*AU4)+($BH$4*BD4)+($BH$5*Z4)+($BH$6*AI4)</f>
        <v>0.94370878422496252</v>
      </c>
      <c r="BR4" s="13">
        <f>($BH$3*AV4)+($BH$4*BE4)+($BH$5*AA4)+($BH$6*AJ4)</f>
        <v>0.8504381919226669</v>
      </c>
      <c r="BT4" t="s">
        <v>2</v>
      </c>
      <c r="BU4" s="1">
        <f>MAX(BK4:BQ4)</f>
        <v>0.98985192644925513</v>
      </c>
    </row>
    <row r="5" spans="1:73">
      <c r="A5">
        <v>0.5</v>
      </c>
      <c r="B5">
        <v>7.9371685575140797E-3</v>
      </c>
      <c r="C5">
        <v>8.3575245372036998E-3</v>
      </c>
      <c r="D5">
        <v>1.13330784829263E-2</v>
      </c>
      <c r="E5">
        <v>1.13449501296824E-2</v>
      </c>
      <c r="F5">
        <v>9.7810915853359399E-3</v>
      </c>
      <c r="G5">
        <v>1.13330784829263E-2</v>
      </c>
      <c r="H5">
        <v>1.13330784829263E-2</v>
      </c>
      <c r="I5" s="3">
        <v>1.7534262640305501E-2</v>
      </c>
      <c r="J5">
        <v>0.5</v>
      </c>
      <c r="K5">
        <v>6.2487513489583799E-4</v>
      </c>
      <c r="L5">
        <v>6.7076852569246501E-4</v>
      </c>
      <c r="M5">
        <v>1.27582430078546E-3</v>
      </c>
      <c r="N5">
        <v>1.2804591549295699E-3</v>
      </c>
      <c r="O5">
        <v>8.9057128161612099E-4</v>
      </c>
      <c r="P5">
        <v>1.27582430078546E-3</v>
      </c>
      <c r="Q5">
        <v>1.27582430078546E-3</v>
      </c>
      <c r="R5" s="4">
        <v>4.7709138498795503E-3</v>
      </c>
      <c r="S5">
        <v>0.5</v>
      </c>
      <c r="T5">
        <v>0.92438361944158998</v>
      </c>
      <c r="U5">
        <v>0.90775265474281597</v>
      </c>
      <c r="V5">
        <v>0.88679905138200299</v>
      </c>
      <c r="W5">
        <v>0.88639544889074895</v>
      </c>
      <c r="X5">
        <v>0.88097966535509697</v>
      </c>
      <c r="Y5">
        <v>0.88679905138200299</v>
      </c>
      <c r="Z5">
        <v>0.88679905138200299</v>
      </c>
      <c r="AA5" s="5">
        <v>0.69749479489775001</v>
      </c>
      <c r="AB5">
        <v>0.5</v>
      </c>
      <c r="AC5">
        <v>0.94686176789618404</v>
      </c>
      <c r="AD5">
        <v>0.93492388472287102</v>
      </c>
      <c r="AE5">
        <v>0.89285757520623199</v>
      </c>
      <c r="AF5">
        <v>0.89253862112675697</v>
      </c>
      <c r="AG5">
        <v>0.91092486555699004</v>
      </c>
      <c r="AH5">
        <v>0.89285757520623199</v>
      </c>
      <c r="AI5">
        <v>0.89285757520623199</v>
      </c>
      <c r="AJ5" s="6">
        <v>0.61256200147352802</v>
      </c>
      <c r="AN5">
        <v>0.5</v>
      </c>
      <c r="AO5">
        <f t="shared" ref="AO5:AO49" si="0">1-(B5/$AL$3)</f>
        <v>0.85074610212431567</v>
      </c>
      <c r="AP5">
        <f>1-(C5/$AL$3)</f>
        <v>0.84284154925897026</v>
      </c>
      <c r="AQ5">
        <f>1-(D5/$AL$3)</f>
        <v>0.78688796562012575</v>
      </c>
      <c r="AR5">
        <f>1-(E5/$AL$3)</f>
        <v>0.78666472611856908</v>
      </c>
      <c r="AS5">
        <f>1-(F5/$AL$3)</f>
        <v>0.81607218821019023</v>
      </c>
      <c r="AT5">
        <f>1-(G5/$AL$3)</f>
        <v>0.78688796562012575</v>
      </c>
      <c r="AU5">
        <f>1-(H5/$AL$3)</f>
        <v>0.78688796562012575</v>
      </c>
      <c r="AV5" s="6">
        <f t="shared" ref="AV5:AV12" si="1">1-(I5/$AL$3)</f>
        <v>0.67027825773410987</v>
      </c>
      <c r="AW5">
        <v>0.5</v>
      </c>
      <c r="AX5">
        <f t="shared" ref="AX5:AX49" si="2">1-(K5/$AL$4)</f>
        <v>0.93400178400880196</v>
      </c>
      <c r="AY5">
        <f>1-(L5/$AL$4)</f>
        <v>0.92915460454971033</v>
      </c>
      <c r="AZ5">
        <f>1-(M5/$AL$4)</f>
        <v>0.86524967458643753</v>
      </c>
      <c r="BA5">
        <f>1-(N5/$AL$4)</f>
        <v>0.86476014941923485</v>
      </c>
      <c r="BB5">
        <f>1-(O5/$AL$4)</f>
        <v>0.90593942290653584</v>
      </c>
      <c r="BC5">
        <f>1-(P5/$AL$4)</f>
        <v>0.86524967458643753</v>
      </c>
      <c r="BD5">
        <f>1-(Q5/$AL$4)</f>
        <v>0.86524967458643753</v>
      </c>
      <c r="BE5" s="6">
        <f t="shared" ref="BE5:BE9" si="3">1-(R5/$AL$4)</f>
        <v>0.49610444526291597</v>
      </c>
      <c r="BG5" t="s">
        <v>16</v>
      </c>
      <c r="BH5">
        <v>0.25</v>
      </c>
      <c r="BJ5" s="14">
        <v>0.5</v>
      </c>
      <c r="BK5" s="15">
        <f t="shared" ref="BK5:BK49" si="4">($BH$3*AO5)+($BH$4*AX5)+($BH$5*T5)+($BH$6*AC5)</f>
        <v>0.91399831836772294</v>
      </c>
      <c r="BL5" s="16">
        <f>($BH$3*AP5)+($BH$4*AY5)+($BH$5*U5)+($BH$6*AD5)</f>
        <v>0.90366817331859184</v>
      </c>
      <c r="BM5" s="16">
        <f>($BH$3*AQ5)+($BH$4*AZ5)+($BH$5*V5)+($BH$6*AE5)</f>
        <v>0.85794856669869968</v>
      </c>
      <c r="BN5" s="16">
        <f>($BH$3*AR5)+($BH$4*BA5)+($BH$5*W5)+($BH$6*AF5)</f>
        <v>0.85758973638882741</v>
      </c>
      <c r="BO5" s="16">
        <f>($BH$3*AS5)+($BH$4*BB5)+($BH$5*X5)+($BH$6*AG5)</f>
        <v>0.8784790355072033</v>
      </c>
      <c r="BP5" s="16">
        <f>($BH$3*AT5)+($BH$4*BC5)+($BH$5*Y5)+($BH$6*AH5)</f>
        <v>0.85794856669869968</v>
      </c>
      <c r="BQ5" s="16">
        <f>($BH$3*AU5)+($BH$4*BD5)+($BH$5*Z5)+($BH$6*AI5)</f>
        <v>0.85794856669869968</v>
      </c>
      <c r="BR5" s="13">
        <f t="shared" ref="BR5:BR9" si="5">($BH$3*AV5)+($BH$4*BE5)+($BH$5*AA5)+($BH$6*AJ5)</f>
        <v>0.61910987484207602</v>
      </c>
      <c r="BT5" t="s">
        <v>2</v>
      </c>
      <c r="BU5" s="1">
        <f t="shared" ref="BU5:BU49" si="6">MAX(BK5:BQ5)</f>
        <v>0.91399831836772294</v>
      </c>
    </row>
    <row r="6" spans="1:73">
      <c r="A6">
        <v>1</v>
      </c>
      <c r="B6">
        <v>1.5797654546238601E-2</v>
      </c>
      <c r="C6">
        <v>1.55798658297343E-2</v>
      </c>
      <c r="D6">
        <v>1.83196159579165E-2</v>
      </c>
      <c r="E6">
        <v>1.8314813986713599E-2</v>
      </c>
      <c r="F6">
        <v>1.7155900335816699E-2</v>
      </c>
      <c r="G6">
        <v>1.93508212355239E-2</v>
      </c>
      <c r="H6">
        <v>1.9321845156546301E-2</v>
      </c>
      <c r="I6" s="3">
        <v>2.8427390452821499E-2</v>
      </c>
      <c r="J6">
        <v>1</v>
      </c>
      <c r="K6">
        <v>2.0998938983465098E-3</v>
      </c>
      <c r="L6">
        <v>2.0182577842611598E-3</v>
      </c>
      <c r="M6">
        <v>3.02981289379606E-3</v>
      </c>
      <c r="N6">
        <v>3.0297846293625701E-3</v>
      </c>
      <c r="O6">
        <v>2.4245827382561001E-3</v>
      </c>
      <c r="P6">
        <v>3.3692923225819198E-3</v>
      </c>
      <c r="Q6">
        <v>3.37907864401841E-3</v>
      </c>
      <c r="R6" s="4">
        <v>1.7816603403208401E-2</v>
      </c>
      <c r="S6">
        <v>1</v>
      </c>
      <c r="T6">
        <v>0.83417930971764198</v>
      </c>
      <c r="U6">
        <v>0.809098305190463</v>
      </c>
      <c r="V6">
        <v>0.786803536214428</v>
      </c>
      <c r="W6">
        <v>0.78716244745765696</v>
      </c>
      <c r="X6">
        <v>0.76550025937649502</v>
      </c>
      <c r="Y6">
        <v>0.77316510466992105</v>
      </c>
      <c r="Z6">
        <v>0.76958348953931099</v>
      </c>
      <c r="AA6" s="5">
        <v>0.39020783418968802</v>
      </c>
      <c r="AB6">
        <v>1</v>
      </c>
      <c r="AC6">
        <v>0.77538764286894202</v>
      </c>
      <c r="AD6">
        <v>0.74855692711215305</v>
      </c>
      <c r="AE6">
        <v>0.706483195882469</v>
      </c>
      <c r="AF6">
        <v>0.70692830034169896</v>
      </c>
      <c r="AG6">
        <v>0.69424366907913104</v>
      </c>
      <c r="AH6">
        <v>0.68203415023010605</v>
      </c>
      <c r="AI6">
        <v>0.67391512332887704</v>
      </c>
      <c r="AJ6" s="6">
        <v>0.16755477792655399</v>
      </c>
      <c r="AN6">
        <v>1</v>
      </c>
      <c r="AO6">
        <f t="shared" si="0"/>
        <v>0.70293417593009799</v>
      </c>
      <c r="AP6">
        <f>1-(C6/$AL$3)</f>
        <v>0.70702956770816927</v>
      </c>
      <c r="AQ6">
        <f>1-(D6/$AL$3)</f>
        <v>0.65551013947963832</v>
      </c>
      <c r="AR6">
        <f>1-(E6/$AL$3)</f>
        <v>0.65560043779122457</v>
      </c>
      <c r="AS6">
        <f>1-(F6/$AL$3)</f>
        <v>0.67739314364650727</v>
      </c>
      <c r="AT6">
        <f>1-(G6/$AL$3)</f>
        <v>0.63611891626475847</v>
      </c>
      <c r="AU6">
        <f>1-(H6/$AL$3)</f>
        <v>0.63666379479432744</v>
      </c>
      <c r="AV6" s="6">
        <f t="shared" si="1"/>
        <v>0.46543924312897567</v>
      </c>
      <c r="AW6">
        <v>1</v>
      </c>
      <c r="AX6">
        <f t="shared" si="2"/>
        <v>0.77821288874812811</v>
      </c>
      <c r="AY6">
        <f>1-(L6/$AL$4)</f>
        <v>0.78683515196393861</v>
      </c>
      <c r="AZ6">
        <f>1-(M6/$AL$4)</f>
        <v>0.67999647511818306</v>
      </c>
      <c r="BA6">
        <f>1-(N6/$AL$4)</f>
        <v>0.6799994603580849</v>
      </c>
      <c r="BB6">
        <f>1-(O6/$AL$4)</f>
        <v>0.74391982283847768</v>
      </c>
      <c r="BC6">
        <f>1-(P6/$AL$4)</f>
        <v>0.64414125314761705</v>
      </c>
      <c r="BD6">
        <f>1-(Q6/$AL$4)</f>
        <v>0.64310763903840396</v>
      </c>
      <c r="BE6" s="6">
        <f t="shared" si="3"/>
        <v>-0.88175840895072399</v>
      </c>
      <c r="BG6" t="s">
        <v>15</v>
      </c>
      <c r="BH6">
        <v>0.25</v>
      </c>
      <c r="BJ6" s="14">
        <v>1</v>
      </c>
      <c r="BK6" s="15">
        <f t="shared" si="4"/>
        <v>0.77267850431620244</v>
      </c>
      <c r="BL6" s="16">
        <f>($BH$3*AP6)+($BH$4*AY6)+($BH$5*U6)+($BH$6*AD6)</f>
        <v>0.76287998799368095</v>
      </c>
      <c r="BM6" s="16">
        <f>($BH$3*AQ6)+($BH$4*AZ6)+($BH$5*V6)+($BH$6*AE6)</f>
        <v>0.7071983366736796</v>
      </c>
      <c r="BN6" s="16">
        <f>($BH$3*AR6)+($BH$4*BA6)+($BH$5*W6)+($BH$6*AF6)</f>
        <v>0.70742266148716637</v>
      </c>
      <c r="BO6" s="16">
        <f>($BH$3*AS6)+($BH$4*BB6)+($BH$5*X6)+($BH$6*AG6)</f>
        <v>0.72026422373515264</v>
      </c>
      <c r="BP6" s="16">
        <f>($BH$3*AT6)+($BH$4*BC6)+($BH$5*Y6)+($BH$6*AH6)</f>
        <v>0.68386485607810055</v>
      </c>
      <c r="BQ6" s="16">
        <f>($BH$3*AU6)+($BH$4*BD6)+($BH$5*Z6)+($BH$6*AI6)</f>
        <v>0.68081751167522975</v>
      </c>
      <c r="BR6" s="13">
        <f t="shared" si="5"/>
        <v>3.536086157362342E-2</v>
      </c>
      <c r="BT6" t="s">
        <v>2</v>
      </c>
      <c r="BU6" s="1">
        <f t="shared" si="6"/>
        <v>0.77267850431620244</v>
      </c>
    </row>
    <row r="7" spans="1:73">
      <c r="A7">
        <v>1.5</v>
      </c>
      <c r="B7">
        <v>1.9926823928379699E-2</v>
      </c>
      <c r="C7">
        <v>1.9404150310390101E-2</v>
      </c>
      <c r="D7">
        <v>2.3920664155307501E-2</v>
      </c>
      <c r="E7">
        <v>2.39257580572977E-2</v>
      </c>
      <c r="F7">
        <v>2.1869393113112399E-2</v>
      </c>
      <c r="G7">
        <v>2.3920664155307501E-2</v>
      </c>
      <c r="H7">
        <v>2.3920664155307501E-2</v>
      </c>
      <c r="I7" s="3">
        <v>4.96535199823177E-2</v>
      </c>
      <c r="J7">
        <v>1.5</v>
      </c>
      <c r="K7">
        <v>2.7035446454900698E-3</v>
      </c>
      <c r="L7">
        <v>2.53995789887564E-3</v>
      </c>
      <c r="M7">
        <v>4.5877952495871604E-3</v>
      </c>
      <c r="N7">
        <v>4.5952909511118604E-3</v>
      </c>
      <c r="O7">
        <v>3.75562039197537E-3</v>
      </c>
      <c r="P7">
        <v>4.5877952495871604E-3</v>
      </c>
      <c r="Q7">
        <v>4.5877952495871604E-3</v>
      </c>
      <c r="R7" s="4">
        <v>5.0847825649633499E-2</v>
      </c>
      <c r="S7">
        <v>1.5</v>
      </c>
      <c r="T7">
        <v>0.739938866165607</v>
      </c>
      <c r="U7">
        <v>0.73717312057192896</v>
      </c>
      <c r="V7">
        <v>0.68561325552354002</v>
      </c>
      <c r="W7">
        <v>0.68575708589329898</v>
      </c>
      <c r="X7">
        <v>0.667576343566607</v>
      </c>
      <c r="Y7">
        <v>0.68561325552354002</v>
      </c>
      <c r="Z7">
        <v>0.68561325552354002</v>
      </c>
      <c r="AA7" s="5">
        <v>0.141950772641074</v>
      </c>
      <c r="AB7">
        <v>1.5</v>
      </c>
      <c r="AC7">
        <v>0.64426453572318598</v>
      </c>
      <c r="AD7">
        <v>0.60447506137478402</v>
      </c>
      <c r="AE7">
        <v>0.497204321344762</v>
      </c>
      <c r="AF7">
        <v>0.49762747290409698</v>
      </c>
      <c r="AG7">
        <v>0.46104072253826001</v>
      </c>
      <c r="AH7">
        <v>0.497204321344762</v>
      </c>
      <c r="AI7">
        <v>0.497204321344762</v>
      </c>
      <c r="AJ7" s="6">
        <v>-8.7875331742350501E-2</v>
      </c>
      <c r="AN7">
        <v>1.5</v>
      </c>
      <c r="AO7">
        <f t="shared" si="0"/>
        <v>0.62528751631745216</v>
      </c>
      <c r="AP7">
        <f>1-(C7/$AL$3)</f>
        <v>0.63511609362892696</v>
      </c>
      <c r="AQ7">
        <f>1-(D7/$AL$3)</f>
        <v>0.55018564377408019</v>
      </c>
      <c r="AR7">
        <f>1-(E7/$AL$3)</f>
        <v>0.55008985587164061</v>
      </c>
      <c r="AS7">
        <f>1-(F7/$AL$3)</f>
        <v>0.58875861805686724</v>
      </c>
      <c r="AT7">
        <f>1-(G7/$AL$3)</f>
        <v>0.55018564377408019</v>
      </c>
      <c r="AU7">
        <f>1-(H7/$AL$3)</f>
        <v>0.55018564377408019</v>
      </c>
      <c r="AV7" s="6">
        <f t="shared" si="1"/>
        <v>6.6294063568404948E-2</v>
      </c>
      <c r="AW7">
        <v>1.5</v>
      </c>
      <c r="AX7">
        <f t="shared" si="2"/>
        <v>0.71445635537307273</v>
      </c>
      <c r="AY7">
        <f>1-(L7/$AL$4)</f>
        <v>0.73173410069119327</v>
      </c>
      <c r="AZ7">
        <f>1-(M7/$AL$4)</f>
        <v>0.51544511071621102</v>
      </c>
      <c r="BA7">
        <f>1-(N7/$AL$4)</f>
        <v>0.51465342786534007</v>
      </c>
      <c r="BB7">
        <f>1-(O7/$AL$4)</f>
        <v>0.60333795990801387</v>
      </c>
      <c r="BC7">
        <f>1-(P7/$AL$4)</f>
        <v>0.51544511071621102</v>
      </c>
      <c r="BD7">
        <f>1-(Q7/$AL$4)</f>
        <v>0.51544511071621102</v>
      </c>
      <c r="BE7" s="6">
        <f t="shared" si="3"/>
        <v>-4.3704581803638041</v>
      </c>
      <c r="BJ7" s="14">
        <v>1.5</v>
      </c>
      <c r="BK7" s="15">
        <f t="shared" si="4"/>
        <v>0.68098681839482944</v>
      </c>
      <c r="BL7" s="16">
        <f>($BH$3*AP7)+($BH$4*AY7)+($BH$5*U7)+($BH$6*AD7)</f>
        <v>0.67712459406670833</v>
      </c>
      <c r="BM7" s="16">
        <f>($BH$3*AQ7)+($BH$4*AZ7)+($BH$5*V7)+($BH$6*AE7)</f>
        <v>0.56211208283964831</v>
      </c>
      <c r="BN7" s="16">
        <f>($BH$3*AR7)+($BH$4*BA7)+($BH$5*W7)+($BH$6*AF7)</f>
        <v>0.56203196063359406</v>
      </c>
      <c r="BO7" s="16">
        <f>($BH$3*AS7)+($BH$4*BB7)+($BH$5*X7)+($BH$6*AG7)</f>
        <v>0.58017841101743706</v>
      </c>
      <c r="BP7" s="16">
        <f>($BH$3*AT7)+($BH$4*BC7)+($BH$5*Y7)+($BH$6*AH7)</f>
        <v>0.56211208283964831</v>
      </c>
      <c r="BQ7" s="16">
        <f>($BH$3*AU7)+($BH$4*BD7)+($BH$5*Z7)+($BH$6*AI7)</f>
        <v>0.56211208283964831</v>
      </c>
      <c r="BR7" s="13">
        <f t="shared" si="5"/>
        <v>-1.0625221689741688</v>
      </c>
      <c r="BT7" t="s">
        <v>2</v>
      </c>
      <c r="BU7" s="1">
        <f t="shared" si="6"/>
        <v>0.68098681839482944</v>
      </c>
    </row>
    <row r="8" spans="1:73">
      <c r="A8">
        <v>2</v>
      </c>
      <c r="B8">
        <v>2.46674735260058E-2</v>
      </c>
      <c r="C8">
        <v>2.3808509382485101E-2</v>
      </c>
      <c r="D8">
        <v>2.78444004134011E-2</v>
      </c>
      <c r="E8">
        <v>2.7838402931513299E-2</v>
      </c>
      <c r="F8">
        <v>2.6182352385737E-2</v>
      </c>
      <c r="G8">
        <v>2.8452529739301301E-2</v>
      </c>
      <c r="H8">
        <v>2.8340120195042302E-2</v>
      </c>
      <c r="I8" s="3">
        <v>4.4440652183383701E-2</v>
      </c>
      <c r="J8">
        <v>2</v>
      </c>
      <c r="K8">
        <v>4.0907724410323299E-3</v>
      </c>
      <c r="L8">
        <v>3.8395994638580201E-3</v>
      </c>
      <c r="M8">
        <v>6.2657402372681198E-3</v>
      </c>
      <c r="N8">
        <v>6.2637706835260301E-3</v>
      </c>
      <c r="O8">
        <v>4.91804986602768E-3</v>
      </c>
      <c r="P8">
        <v>6.5572384934421196E-3</v>
      </c>
      <c r="Q8">
        <v>6.5027796830556496E-3</v>
      </c>
      <c r="R8" s="4">
        <v>5.4825289285531202E-2</v>
      </c>
      <c r="S8">
        <v>2</v>
      </c>
      <c r="T8">
        <v>0.57940240096442297</v>
      </c>
      <c r="U8">
        <v>0.66322061194740101</v>
      </c>
      <c r="V8">
        <v>0.61769997435430901</v>
      </c>
      <c r="W8">
        <v>0.61830562136759204</v>
      </c>
      <c r="X8">
        <v>0.58104393588009495</v>
      </c>
      <c r="Y8">
        <v>0.60870853338180297</v>
      </c>
      <c r="Z8">
        <v>0.60750246080860804</v>
      </c>
      <c r="AA8" s="5">
        <v>-3.7218206140126102E-2</v>
      </c>
      <c r="AB8">
        <v>2</v>
      </c>
      <c r="AC8">
        <v>0.47065088216772699</v>
      </c>
      <c r="AD8">
        <v>0.40661071877131499</v>
      </c>
      <c r="AE8">
        <v>0.35140324849855398</v>
      </c>
      <c r="AF8">
        <v>0.35217921232258298</v>
      </c>
      <c r="AG8">
        <v>0.25941644388622798</v>
      </c>
      <c r="AH8">
        <v>0.34015179990438599</v>
      </c>
      <c r="AI8">
        <v>0.33326514814438002</v>
      </c>
      <c r="AJ8" s="6">
        <v>-4.0208690110706803E-2</v>
      </c>
      <c r="AN8">
        <v>2</v>
      </c>
      <c r="AO8">
        <f t="shared" si="0"/>
        <v>0.53614232231263981</v>
      </c>
      <c r="AP8">
        <f>1-(C8/$AL$3)</f>
        <v>0.55229464988725607</v>
      </c>
      <c r="AQ8">
        <f>1-(D8/$AL$3)</f>
        <v>0.47640203611688792</v>
      </c>
      <c r="AR8">
        <f>1-(E8/$AL$3)</f>
        <v>0.47651481532054307</v>
      </c>
      <c r="AS8">
        <f>1-(F8/$AL$3)</f>
        <v>0.50765589507023168</v>
      </c>
      <c r="AT8">
        <f>1-(G8/$AL$3)</f>
        <v>0.46496651327956706</v>
      </c>
      <c r="AU8">
        <f>1-(H8/$AL$3)</f>
        <v>0.46708031022334018</v>
      </c>
      <c r="AV8" s="6">
        <f t="shared" si="1"/>
        <v>0.1643190497412097</v>
      </c>
      <c r="AW8">
        <v>2</v>
      </c>
      <c r="AX8">
        <f t="shared" si="2"/>
        <v>0.56793978819609103</v>
      </c>
      <c r="AY8">
        <f>1-(L8/$AL$4)</f>
        <v>0.59446823759817136</v>
      </c>
      <c r="AZ8">
        <f>1-(M8/$AL$4)</f>
        <v>0.33822350349579289</v>
      </c>
      <c r="BA8">
        <f>1-(N8/$AL$4)</f>
        <v>0.33843152430830026</v>
      </c>
      <c r="BB8">
        <f>1-(O8/$AL$4)</f>
        <v>0.480564197249291</v>
      </c>
      <c r="BC8">
        <f>1-(P8/$AL$4)</f>
        <v>0.30743596883859114</v>
      </c>
      <c r="BD8">
        <f>1-(Q8/$AL$4)</f>
        <v>0.31318781289477859</v>
      </c>
      <c r="BE8" s="6">
        <f t="shared" si="3"/>
        <v>-4.7905509148632657</v>
      </c>
      <c r="BJ8" s="14">
        <v>2</v>
      </c>
      <c r="BK8" s="15">
        <f t="shared" si="4"/>
        <v>0.53853384841022023</v>
      </c>
      <c r="BL8" s="16">
        <f>($BH$3*AP8)+($BH$4*AY8)+($BH$5*U8)+($BH$6*AD8)</f>
        <v>0.55414855455103584</v>
      </c>
      <c r="BM8" s="16">
        <f>($BH$3*AQ8)+($BH$4*AZ8)+($BH$5*V8)+($BH$6*AE8)</f>
        <v>0.445932190616386</v>
      </c>
      <c r="BN8" s="16">
        <f>($BH$3*AR8)+($BH$4*BA8)+($BH$5*W8)+($BH$6*AF8)</f>
        <v>0.44635779332975456</v>
      </c>
      <c r="BO8" s="16">
        <f>($BH$3*AS8)+($BH$4*BB8)+($BH$5*X8)+($BH$6*AG8)</f>
        <v>0.45717011802146146</v>
      </c>
      <c r="BP8" s="16">
        <f>($BH$3*AT8)+($BH$4*BC8)+($BH$5*Y8)+($BH$6*AH8)</f>
        <v>0.43031570385108675</v>
      </c>
      <c r="BQ8" s="16">
        <f>($BH$3*AU8)+($BH$4*BD8)+($BH$5*Z8)+($BH$6*AI8)</f>
        <v>0.43025893301777668</v>
      </c>
      <c r="BR8" s="13">
        <f t="shared" si="5"/>
        <v>-1.1759146903432225</v>
      </c>
      <c r="BT8" t="s">
        <v>3</v>
      </c>
      <c r="BU8" s="1">
        <f t="shared" si="6"/>
        <v>0.55414855455103584</v>
      </c>
    </row>
    <row r="9" spans="1:73" ht="15" thickBot="1">
      <c r="A9">
        <v>2.5</v>
      </c>
      <c r="B9">
        <v>2.64156350954361E-2</v>
      </c>
      <c r="C9">
        <v>2.5384689287883001E-2</v>
      </c>
      <c r="D9">
        <v>3.0650348537122299E-2</v>
      </c>
      <c r="E9">
        <v>3.0688214497492702E-2</v>
      </c>
      <c r="F9">
        <v>2.82084682740129E-2</v>
      </c>
      <c r="G9">
        <v>3.0650348537122299E-2</v>
      </c>
      <c r="H9">
        <v>3.0650348537122299E-2</v>
      </c>
      <c r="I9" s="3">
        <v>3.2826804815232397E-2</v>
      </c>
      <c r="J9">
        <v>2.5</v>
      </c>
      <c r="K9">
        <v>4.1478617452528196E-3</v>
      </c>
      <c r="L9">
        <v>3.8919026850043198E-3</v>
      </c>
      <c r="M9">
        <v>6.9125585558663704E-3</v>
      </c>
      <c r="N9">
        <v>6.9761638702499204E-3</v>
      </c>
      <c r="O9">
        <v>5.2232455735675897E-3</v>
      </c>
      <c r="P9">
        <v>6.9125585558663704E-3</v>
      </c>
      <c r="Q9">
        <v>6.9125585558663704E-3</v>
      </c>
      <c r="R9" s="4">
        <v>1.12234206665471E-2</v>
      </c>
      <c r="S9">
        <v>2.5</v>
      </c>
      <c r="T9">
        <v>0.22297660673549799</v>
      </c>
      <c r="U9">
        <v>0.62154035598463198</v>
      </c>
      <c r="V9">
        <v>0.52597259592919898</v>
      </c>
      <c r="W9">
        <v>0.53021840378991802</v>
      </c>
      <c r="X9">
        <v>0.52119574105692801</v>
      </c>
      <c r="Y9">
        <v>0.52597259592919898</v>
      </c>
      <c r="Z9">
        <v>0.52597259592919898</v>
      </c>
      <c r="AA9" s="5">
        <v>0.33172065963430902</v>
      </c>
      <c r="AB9">
        <v>2.5</v>
      </c>
      <c r="AC9">
        <v>0.40047169715744002</v>
      </c>
      <c r="AD9">
        <v>0.31961820062037599</v>
      </c>
      <c r="AE9">
        <v>0.20160772087147699</v>
      </c>
      <c r="AF9">
        <v>0.20465978029187801</v>
      </c>
      <c r="AG9">
        <v>8.2397832787814707E-2</v>
      </c>
      <c r="AH9">
        <v>0.20160772087147699</v>
      </c>
      <c r="AI9">
        <v>0.20160772087147699</v>
      </c>
      <c r="AJ9" s="6">
        <v>-0.29592224558582297</v>
      </c>
      <c r="AN9">
        <v>2.5</v>
      </c>
      <c r="AO9">
        <f t="shared" si="0"/>
        <v>0.50326914764546782</v>
      </c>
      <c r="AP9">
        <f>1-(C9/$AL$3)</f>
        <v>0.52265549167494219</v>
      </c>
      <c r="AQ9">
        <f>1-(D9/$AL$3)</f>
        <v>0.42363779258751533</v>
      </c>
      <c r="AR9">
        <f>1-(E9/$AL$3)</f>
        <v>0.42292574494216972</v>
      </c>
      <c r="AS9">
        <f>1-(F9/$AL$3)</f>
        <v>0.46955594901494146</v>
      </c>
      <c r="AT9">
        <f>1-(G9/$AL$3)</f>
        <v>0.42363779258751533</v>
      </c>
      <c r="AU9">
        <f>1-(H9/$AL$3)</f>
        <v>0.42363779258751533</v>
      </c>
      <c r="AV9" s="6">
        <f t="shared" si="1"/>
        <v>0.3827107818140818</v>
      </c>
      <c r="AW9">
        <v>2.5</v>
      </c>
      <c r="AX9">
        <f t="shared" si="2"/>
        <v>0.56191011599388518</v>
      </c>
      <c r="AY9">
        <f>1-(L9/$AL$4)</f>
        <v>0.58894406309757408</v>
      </c>
      <c r="AZ9">
        <f>1-(M9/$AL$4)</f>
        <v>0.26990768692065137</v>
      </c>
      <c r="BA9">
        <f>1-(N9/$AL$4)</f>
        <v>0.26318980515124268</v>
      </c>
      <c r="BB9">
        <f>1-(O9/$AL$4)</f>
        <v>0.44832996179813478</v>
      </c>
      <c r="BC9">
        <f>1-(P9/$AL$4)</f>
        <v>0.26990768692065137</v>
      </c>
      <c r="BD9">
        <f>1-(Q9/$AL$4)</f>
        <v>0.26990768692065137</v>
      </c>
      <c r="BE9" s="6">
        <f t="shared" si="3"/>
        <v>-0.18539800985091892</v>
      </c>
      <c r="BJ9" s="17">
        <v>2.5</v>
      </c>
      <c r="BK9" s="18">
        <f t="shared" si="4"/>
        <v>0.42215689188307276</v>
      </c>
      <c r="BL9" s="19">
        <f>($BH$3*AP9)+($BH$4*AY9)+($BH$5*U9)+($BH$6*AD9)</f>
        <v>0.5131895278443811</v>
      </c>
      <c r="BM9" s="19">
        <f>($BH$3*AQ9)+($BH$4*AZ9)+($BH$5*V9)+($BH$6*AE9)</f>
        <v>0.35528144907721065</v>
      </c>
      <c r="BN9" s="19">
        <f>($BH$3*AR9)+($BH$4*BA9)+($BH$5*W9)+($BH$6*AF9)</f>
        <v>0.35524843354380209</v>
      </c>
      <c r="BO9" s="19">
        <f>($BH$3*AS9)+($BH$4*BB9)+($BH$5*X9)+($BH$6*AG9)</f>
        <v>0.38036987116445475</v>
      </c>
      <c r="BP9" s="19">
        <f>($BH$3*AT9)+($BH$4*BC9)+($BH$5*Y9)+($BH$6*AH9)</f>
        <v>0.35528144907721065</v>
      </c>
      <c r="BQ9" s="19">
        <f>($BH$3*AU9)+($BH$4*BD9)+($BH$5*Z9)+($BH$6*AI9)</f>
        <v>0.35528144907721065</v>
      </c>
      <c r="BR9" s="20">
        <f t="shared" si="5"/>
        <v>5.8277796502912219E-2</v>
      </c>
      <c r="BT9" t="s">
        <v>3</v>
      </c>
      <c r="BU9" s="1">
        <f t="shared" si="6"/>
        <v>0.5131895278443811</v>
      </c>
    </row>
    <row r="10" spans="1:73" ht="15" thickBot="1">
      <c r="A10" t="s">
        <v>9</v>
      </c>
      <c r="J10" t="s">
        <v>9</v>
      </c>
      <c r="S10" t="s">
        <v>9</v>
      </c>
      <c r="AB10" t="s">
        <v>9</v>
      </c>
      <c r="AN10" t="s">
        <v>9</v>
      </c>
      <c r="AW10" t="s">
        <v>9</v>
      </c>
      <c r="BJ10" t="s">
        <v>9</v>
      </c>
      <c r="BU10" s="1"/>
    </row>
    <row r="11" spans="1:73" ht="15" thickBot="1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J11" t="s">
        <v>1</v>
      </c>
      <c r="K11" t="s">
        <v>2</v>
      </c>
      <c r="L11" t="s">
        <v>3</v>
      </c>
      <c r="M11" t="s">
        <v>4</v>
      </c>
      <c r="N11" t="s">
        <v>5</v>
      </c>
      <c r="O11" t="s">
        <v>6</v>
      </c>
      <c r="P11" t="s">
        <v>7</v>
      </c>
      <c r="Q11" t="s">
        <v>8</v>
      </c>
      <c r="S11" t="s">
        <v>1</v>
      </c>
      <c r="T11" t="s">
        <v>2</v>
      </c>
      <c r="U11" t="s">
        <v>3</v>
      </c>
      <c r="V11" t="s">
        <v>4</v>
      </c>
      <c r="W11" t="s">
        <v>5</v>
      </c>
      <c r="X11" t="s">
        <v>6</v>
      </c>
      <c r="Y11" t="s">
        <v>7</v>
      </c>
      <c r="Z11" t="s">
        <v>8</v>
      </c>
      <c r="AB11" t="s">
        <v>1</v>
      </c>
      <c r="AC11" t="s">
        <v>2</v>
      </c>
      <c r="AD11" t="s">
        <v>3</v>
      </c>
      <c r="AE11" t="s">
        <v>4</v>
      </c>
      <c r="AF11" t="s">
        <v>5</v>
      </c>
      <c r="AG11" t="s">
        <v>6</v>
      </c>
      <c r="AH11" t="s">
        <v>7</v>
      </c>
      <c r="AI11" t="s">
        <v>8</v>
      </c>
      <c r="AN11" t="s">
        <v>1</v>
      </c>
      <c r="AO11" t="s">
        <v>2</v>
      </c>
      <c r="AP11" t="s">
        <v>3</v>
      </c>
      <c r="AQ11" t="s">
        <v>4</v>
      </c>
      <c r="AR11" t="s">
        <v>5</v>
      </c>
      <c r="AS11" t="s">
        <v>6</v>
      </c>
      <c r="AT11" t="s">
        <v>7</v>
      </c>
      <c r="AU11" t="s">
        <v>8</v>
      </c>
      <c r="AW11" t="s">
        <v>1</v>
      </c>
      <c r="AX11" t="s">
        <v>2</v>
      </c>
      <c r="AY11" t="s">
        <v>3</v>
      </c>
      <c r="AZ11" t="s">
        <v>4</v>
      </c>
      <c r="BA11" t="s">
        <v>5</v>
      </c>
      <c r="BB11" t="s">
        <v>6</v>
      </c>
      <c r="BC11" t="s">
        <v>7</v>
      </c>
      <c r="BD11" t="s">
        <v>8</v>
      </c>
      <c r="BJ11" s="2" t="s">
        <v>1</v>
      </c>
      <c r="BK11" s="7" t="s">
        <v>2</v>
      </c>
      <c r="BL11" s="8" t="s">
        <v>3</v>
      </c>
      <c r="BM11" s="8" t="s">
        <v>4</v>
      </c>
      <c r="BN11" s="8" t="s">
        <v>5</v>
      </c>
      <c r="BO11" s="8" t="s">
        <v>6</v>
      </c>
      <c r="BP11" s="8" t="s">
        <v>7</v>
      </c>
      <c r="BQ11" s="8" t="s">
        <v>8</v>
      </c>
      <c r="BR11" s="9"/>
      <c r="BU11" s="1"/>
    </row>
    <row r="12" spans="1:73">
      <c r="A12">
        <v>0.2</v>
      </c>
      <c r="B12">
        <v>1.5595754600525799E-3</v>
      </c>
      <c r="C12">
        <v>2.1477570236598099E-3</v>
      </c>
      <c r="D12">
        <v>2.1940625197704E-3</v>
      </c>
      <c r="E12">
        <v>2.19405915314742E-3</v>
      </c>
      <c r="F12">
        <v>3.4799612754721899E-3</v>
      </c>
      <c r="G12">
        <v>6.5773803493153196E-3</v>
      </c>
      <c r="H12">
        <v>6.6524131032842798E-3</v>
      </c>
      <c r="I12" s="22">
        <v>1.12358655280275E-2</v>
      </c>
      <c r="J12">
        <v>0.2</v>
      </c>
      <c r="K12">
        <v>3.1314618813570202E-5</v>
      </c>
      <c r="L12">
        <v>6.6360989827422996E-5</v>
      </c>
      <c r="M12">
        <v>7.0872181300570594E-5</v>
      </c>
      <c r="N12">
        <v>7.0872271679711099E-5</v>
      </c>
      <c r="O12">
        <v>1.3402519576647E-4</v>
      </c>
      <c r="P12">
        <v>4.3731359302272998E-4</v>
      </c>
      <c r="Q12">
        <v>4.53467932389138E-4</v>
      </c>
      <c r="R12" s="27">
        <v>1.84776360981066E-3</v>
      </c>
      <c r="S12">
        <v>0.2</v>
      </c>
      <c r="T12">
        <v>0.98753813600419504</v>
      </c>
      <c r="U12">
        <v>0.98191436776781704</v>
      </c>
      <c r="V12">
        <v>0.98140194361479105</v>
      </c>
      <c r="W12">
        <v>0.981402131761553</v>
      </c>
      <c r="X12">
        <v>0.97183600625104705</v>
      </c>
      <c r="Y12">
        <v>0.95572105428403997</v>
      </c>
      <c r="Z12">
        <v>0.95572905222526405</v>
      </c>
      <c r="AA12" s="32">
        <v>0.86616857551684101</v>
      </c>
      <c r="AB12">
        <v>0.2</v>
      </c>
      <c r="AC12">
        <v>0.99792076446450595</v>
      </c>
      <c r="AD12">
        <v>0.99548777864899496</v>
      </c>
      <c r="AE12">
        <v>0.99516533860545497</v>
      </c>
      <c r="AF12">
        <v>0.99516517545982197</v>
      </c>
      <c r="AG12">
        <v>0.99016978917022203</v>
      </c>
      <c r="AH12">
        <v>0.96757672211803603</v>
      </c>
      <c r="AI12">
        <v>0.96823270731017297</v>
      </c>
      <c r="AJ12" s="37">
        <v>0.89071147499689296</v>
      </c>
      <c r="AN12">
        <v>0.2</v>
      </c>
      <c r="AO12">
        <f t="shared" si="0"/>
        <v>0.97067307884954179</v>
      </c>
      <c r="AP12">
        <f>1-(C12/$AL$3)</f>
        <v>0.95961266222982866</v>
      </c>
      <c r="AQ12">
        <f>1-(D12/$AL$3)</f>
        <v>0.95874191396015385</v>
      </c>
      <c r="AR12">
        <f>1-(E12/$AL$3)</f>
        <v>0.95874197726756605</v>
      </c>
      <c r="AS12">
        <f>1-(F12/$AL$3)</f>
        <v>0.93456132611308207</v>
      </c>
      <c r="AT12">
        <f>1-(G12/$AL$3)</f>
        <v>0.87631613870454206</v>
      </c>
      <c r="AU12">
        <f>1-(H12/$AL$3)</f>
        <v>0.87490519084359319</v>
      </c>
      <c r="AV12" s="6">
        <f>1-(I12/$AL$3)</f>
        <v>0.7887159994255718</v>
      </c>
      <c r="AW12">
        <v>0.2</v>
      </c>
      <c r="AX12">
        <f t="shared" si="2"/>
        <v>0.99669260487299671</v>
      </c>
      <c r="AY12">
        <f>1-(L12/$AL$4)</f>
        <v>0.99299106862245368</v>
      </c>
      <c r="AZ12">
        <f>1-(M12/$AL$4)</f>
        <v>0.99251460448970807</v>
      </c>
      <c r="BA12">
        <f>1-(N12/$AL$4)</f>
        <v>0.99251459494402172</v>
      </c>
      <c r="BB12">
        <f>1-(O12/$AL$4)</f>
        <v>0.98584449384446615</v>
      </c>
      <c r="BC12">
        <f>1-(P12/$AL$4)</f>
        <v>0.95381170516088454</v>
      </c>
      <c r="BD12">
        <f>1-(Q12/$AL$4)</f>
        <v>0.9521055121646198</v>
      </c>
      <c r="BE12" s="6">
        <f>1-(R12/$AL$4)</f>
        <v>0.80484244769751068</v>
      </c>
      <c r="BJ12" s="10">
        <v>0.2</v>
      </c>
      <c r="BK12" s="11">
        <f t="shared" si="4"/>
        <v>0.98820614604780987</v>
      </c>
      <c r="BL12" s="12">
        <f>($BH$3*AP12)+($BH$4*AY12)+($BH$5*U12)+($BH$6*AD12)</f>
        <v>0.98250146931727356</v>
      </c>
      <c r="BM12" s="21">
        <f>($BH$3*AQ12)+($BH$4*AZ12)+($BH$5*V12)+($BH$6*AE12)</f>
        <v>0.98195595016752701</v>
      </c>
      <c r="BN12" s="12">
        <f>($BH$3*AR12)+($BH$4*BA12)+($BH$5*W12)+($BH$6*AF12)</f>
        <v>0.98195596985824063</v>
      </c>
      <c r="BO12" s="12">
        <f>($BH$3*AS12)+($BH$4*BB12)+($BH$5*X12)+($BH$6*AG12)</f>
        <v>0.97060290384470427</v>
      </c>
      <c r="BP12" s="12">
        <f>($BH$3*AT12)+($BH$4*BC12)+($BH$5*Y12)+($BH$6*AH12)</f>
        <v>0.93835640506687557</v>
      </c>
      <c r="BQ12" s="12">
        <f>($BH$3*AU12)+($BH$4*BD12)+($BH$5*Z12)+($BH$6*AI12)</f>
        <v>0.93774311563591251</v>
      </c>
      <c r="BR12" s="13">
        <f>($BH$3*AV12)+($BH$4*BE12)+($BH$5*AA12)+($BH$6*AJ12)</f>
        <v>0.83760962440920406</v>
      </c>
      <c r="BT12" t="s">
        <v>2</v>
      </c>
      <c r="BU12" s="1">
        <f t="shared" si="6"/>
        <v>0.98820614604780987</v>
      </c>
    </row>
    <row r="13" spans="1:73">
      <c r="A13">
        <v>0.5</v>
      </c>
      <c r="B13">
        <v>9.8353078551352297E-3</v>
      </c>
      <c r="C13">
        <v>1.0260009334551699E-2</v>
      </c>
      <c r="D13">
        <v>1.35369174973322E-2</v>
      </c>
      <c r="E13">
        <v>1.3539771302738901E-2</v>
      </c>
      <c r="F13">
        <v>1.1579661467320901E-2</v>
      </c>
      <c r="G13">
        <v>1.35369174973322E-2</v>
      </c>
      <c r="H13">
        <v>1.35369174973322E-2</v>
      </c>
      <c r="I13" s="22">
        <v>1.97063225545842E-2</v>
      </c>
      <c r="J13">
        <v>0.5</v>
      </c>
      <c r="K13">
        <v>8.32611187581695E-4</v>
      </c>
      <c r="L13">
        <v>8.7892196916243201E-4</v>
      </c>
      <c r="M13">
        <v>1.5474943802366099E-3</v>
      </c>
      <c r="N13">
        <v>1.5489568213033101E-3</v>
      </c>
      <c r="O13">
        <v>1.05946351999099E-3</v>
      </c>
      <c r="P13">
        <v>1.5474943802366099E-3</v>
      </c>
      <c r="Q13">
        <v>1.5474943802366099E-3</v>
      </c>
      <c r="R13" s="27">
        <v>4.7987222728591E-3</v>
      </c>
      <c r="S13">
        <v>0.5</v>
      </c>
      <c r="T13">
        <v>0.92703056431818298</v>
      </c>
      <c r="U13">
        <v>0.909635633234265</v>
      </c>
      <c r="V13">
        <v>0.90094581502464099</v>
      </c>
      <c r="W13">
        <v>0.90094449663988696</v>
      </c>
      <c r="X13">
        <v>0.88961831453223505</v>
      </c>
      <c r="Y13">
        <v>0.90094581502464099</v>
      </c>
      <c r="Z13">
        <v>0.90094581502464099</v>
      </c>
      <c r="AA13" s="32">
        <v>0.71919604602891796</v>
      </c>
      <c r="AB13">
        <v>0.5</v>
      </c>
      <c r="AC13">
        <v>0.94142001320950697</v>
      </c>
      <c r="AD13">
        <v>0.92871098012793196</v>
      </c>
      <c r="AE13">
        <v>0.88882583860493103</v>
      </c>
      <c r="AF13">
        <v>0.88881042860873205</v>
      </c>
      <c r="AG13">
        <v>0.90655732475046702</v>
      </c>
      <c r="AH13">
        <v>0.88882583860493103</v>
      </c>
      <c r="AI13">
        <v>0.88882583860493103</v>
      </c>
      <c r="AJ13" s="37">
        <v>0.61009583726229399</v>
      </c>
      <c r="AN13">
        <v>0.5</v>
      </c>
      <c r="AO13">
        <f t="shared" si="0"/>
        <v>0.81505268238299411</v>
      </c>
      <c r="AP13">
        <f>1-(C13/$AL$3)</f>
        <v>0.80706641489010222</v>
      </c>
      <c r="AQ13">
        <f>1-(D13/$AL$3)</f>
        <v>0.74544603821149225</v>
      </c>
      <c r="AR13">
        <f>1-(E13/$AL$3)</f>
        <v>0.74539237403923209</v>
      </c>
      <c r="AS13">
        <f>1-(F13/$AL$3)</f>
        <v>0.78225111416560156</v>
      </c>
      <c r="AT13">
        <f>1-(G13/$AL$3)</f>
        <v>0.74544603821149225</v>
      </c>
      <c r="AU13">
        <f>1-(H13/$AL$3)</f>
        <v>0.74544603821149225</v>
      </c>
      <c r="AV13" s="6">
        <f t="shared" ref="AV13:AV17" si="7">1-(I13/$AL$3)</f>
        <v>0.6294339180585069</v>
      </c>
      <c r="AW13">
        <v>0.5</v>
      </c>
      <c r="AX13">
        <f t="shared" si="2"/>
        <v>0.91206106640190687</v>
      </c>
      <c r="AY13">
        <f>1-(L13/$AL$4)</f>
        <v>0.90716980286011761</v>
      </c>
      <c r="AZ13">
        <f>1-(M13/$AL$4)</f>
        <v>0.83655635718479104</v>
      </c>
      <c r="BA13">
        <f>1-(N13/$AL$4)</f>
        <v>0.83640189672380538</v>
      </c>
      <c r="BB13">
        <f>1-(O13/$AL$4)</f>
        <v>0.88810132085217974</v>
      </c>
      <c r="BC13">
        <f>1-(P13/$AL$4)</f>
        <v>0.83655635718479104</v>
      </c>
      <c r="BD13" s="6">
        <f>1-(Q13/$AL$4)</f>
        <v>0.83655635718479104</v>
      </c>
      <c r="BE13" s="6">
        <f>1-(R13/$AL$4)</f>
        <v>0.4931673683915746</v>
      </c>
      <c r="BJ13" s="14">
        <v>0.5</v>
      </c>
      <c r="BK13" s="15">
        <f t="shared" si="4"/>
        <v>0.89889108157814768</v>
      </c>
      <c r="BL13" s="16">
        <f>($BH$3*AP13)+($BH$4*AY13)+($BH$5*U13)+($BH$6*AD13)</f>
        <v>0.8881457077781042</v>
      </c>
      <c r="BM13" s="16">
        <f>($BH$3*AQ13)+($BH$4*AZ13)+($BH$5*V13)+($BH$6*AE13)</f>
        <v>0.84294351225646391</v>
      </c>
      <c r="BN13" s="16">
        <f>($BH$3*AR13)+($BH$4*BA13)+($BH$5*W13)+($BH$6*AF13)</f>
        <v>0.84288729900291415</v>
      </c>
      <c r="BO13" s="16">
        <f>($BH$3*AS13)+($BH$4*BB13)+($BH$5*X13)+($BH$6*AG13)</f>
        <v>0.86663201857512084</v>
      </c>
      <c r="BP13" s="16">
        <f>($BH$3*AT13)+($BH$4*BC13)+($BH$5*Y13)+($BH$6*AH13)</f>
        <v>0.84294351225646391</v>
      </c>
      <c r="BQ13" s="16">
        <f>($BH$3*AU13)+($BH$4*BD13)+($BH$5*Z13)+($BH$6*AI13)</f>
        <v>0.84294351225646391</v>
      </c>
      <c r="BR13" s="13">
        <f>($BH$3*AV13)+($BH$4*BE13)+($BH$5*AA13)+($BH$6*AJ13)</f>
        <v>0.61297329243532328</v>
      </c>
      <c r="BT13" t="s">
        <v>2</v>
      </c>
      <c r="BU13" s="1">
        <f t="shared" si="6"/>
        <v>0.89889108157814768</v>
      </c>
    </row>
    <row r="14" spans="1:73">
      <c r="A14">
        <v>1</v>
      </c>
      <c r="B14">
        <v>1.8924052158547099E-2</v>
      </c>
      <c r="C14">
        <v>1.8552099624346501E-2</v>
      </c>
      <c r="D14">
        <v>2.16420272848044E-2</v>
      </c>
      <c r="E14">
        <v>2.1638900069262602E-2</v>
      </c>
      <c r="F14">
        <v>1.9755723688365399E-2</v>
      </c>
      <c r="G14">
        <v>2.2796847566168399E-2</v>
      </c>
      <c r="H14">
        <v>2.2904457920003899E-2</v>
      </c>
      <c r="I14" s="22">
        <v>3.07087961324937E-2</v>
      </c>
      <c r="J14">
        <v>1</v>
      </c>
      <c r="K14">
        <v>2.6645426384711399E-3</v>
      </c>
      <c r="L14">
        <v>2.5327295994195301E-3</v>
      </c>
      <c r="M14">
        <v>3.6852465056602399E-3</v>
      </c>
      <c r="N14">
        <v>3.68622983729035E-3</v>
      </c>
      <c r="O14">
        <v>2.7946614787747498E-3</v>
      </c>
      <c r="P14">
        <v>4.0711964324238502E-3</v>
      </c>
      <c r="Q14">
        <v>4.1453909492173502E-3</v>
      </c>
      <c r="R14" s="27">
        <v>1.6961837003355799E-2</v>
      </c>
      <c r="S14">
        <v>1</v>
      </c>
      <c r="T14">
        <v>0.84137317222735197</v>
      </c>
      <c r="U14">
        <v>0.81594274366595998</v>
      </c>
      <c r="V14">
        <v>0.81055358876361605</v>
      </c>
      <c r="W14">
        <v>0.81066381971363899</v>
      </c>
      <c r="X14">
        <v>0.78419386521631496</v>
      </c>
      <c r="Y14">
        <v>0.79963259006937903</v>
      </c>
      <c r="Z14">
        <v>0.79910673433519497</v>
      </c>
      <c r="AA14" s="32">
        <v>0.44554439258192802</v>
      </c>
      <c r="AB14">
        <v>1</v>
      </c>
      <c r="AC14">
        <v>0.75520380690688105</v>
      </c>
      <c r="AD14">
        <v>0.72808341775989105</v>
      </c>
      <c r="AE14">
        <v>0.70316997716615903</v>
      </c>
      <c r="AF14">
        <v>0.70331724921937799</v>
      </c>
      <c r="AG14">
        <v>0.68062303607840002</v>
      </c>
      <c r="AH14">
        <v>0.68271853194582499</v>
      </c>
      <c r="AI14">
        <v>0.68475439405488703</v>
      </c>
      <c r="AJ14" s="37">
        <v>0.17111511072212801</v>
      </c>
      <c r="AN14">
        <v>1</v>
      </c>
      <c r="AO14">
        <f t="shared" si="0"/>
        <v>0.64414406374273325</v>
      </c>
      <c r="AP14">
        <f>1-(C14/$AL$3)</f>
        <v>0.65113841760480695</v>
      </c>
      <c r="AQ14">
        <f>1-(D14/$AL$3)</f>
        <v>0.5930341019240426</v>
      </c>
      <c r="AR14">
        <f>1-(E14/$AL$3)</f>
        <v>0.59309290741692433</v>
      </c>
      <c r="AS14">
        <f>1-(F14/$AL$3)</f>
        <v>0.62850495809968865</v>
      </c>
      <c r="AT14">
        <f>1-(G14/$AL$3)</f>
        <v>0.57131836953276083</v>
      </c>
      <c r="AU14">
        <f>1-(H14/$AL$3)</f>
        <v>0.56929481860961395</v>
      </c>
      <c r="AV14" s="6">
        <f t="shared" si="7"/>
        <v>0.42253871911220353</v>
      </c>
      <c r="AW14">
        <v>1</v>
      </c>
      <c r="AX14">
        <f t="shared" si="2"/>
        <v>0.71857567896202401</v>
      </c>
      <c r="AY14">
        <f>1-(L14/$AL$4)</f>
        <v>0.7324975410044855</v>
      </c>
      <c r="AZ14">
        <f>1-(M14/$AL$4)</f>
        <v>0.61077072637573415</v>
      </c>
      <c r="BA14">
        <f>1-(N14/$AL$4)</f>
        <v>0.61066686861329367</v>
      </c>
      <c r="BB14">
        <f>1-(O14/$AL$4)</f>
        <v>0.70483275522044586</v>
      </c>
      <c r="BC14">
        <f>1-(P14/$AL$4)</f>
        <v>0.57000737189759865</v>
      </c>
      <c r="BD14" s="6">
        <f t="shared" ref="BD14:BD17" si="8">1-(Q14/$AL$4)</f>
        <v>0.56217107713846048</v>
      </c>
      <c r="BE14" s="6">
        <f t="shared" ref="BE14:BE17" si="9">1-(R14/$AL$4)</f>
        <v>-0.79147948068308804</v>
      </c>
      <c r="BJ14" s="14">
        <v>1</v>
      </c>
      <c r="BK14" s="15">
        <f t="shared" si="4"/>
        <v>0.73982418045974763</v>
      </c>
      <c r="BL14" s="16">
        <f>($BH$3*AP14)+($BH$4*AY14)+($BH$5*U14)+($BH$6*AD14)</f>
        <v>0.73191553000878584</v>
      </c>
      <c r="BM14" s="16">
        <f>($BH$3*AQ14)+($BH$4*AZ14)+($BH$5*V14)+($BH$6*AE14)</f>
        <v>0.67938209855738796</v>
      </c>
      <c r="BN14" s="16">
        <f>($BH$3*AR14)+($BH$4*BA14)+($BH$5*W14)+($BH$6*AF14)</f>
        <v>0.67943521124080886</v>
      </c>
      <c r="BO14" s="16">
        <f>($BH$3*AS14)+($BH$4*BB14)+($BH$5*X14)+($BH$6*AG14)</f>
        <v>0.69953865365371237</v>
      </c>
      <c r="BP14" s="16">
        <f>($BH$3*AT14)+($BH$4*BC14)+($BH$5*Y14)+($BH$6*AH14)</f>
        <v>0.6559192158613909</v>
      </c>
      <c r="BQ14" s="16">
        <f>($BH$3*AU14)+($BH$4*BD14)+($BH$5*Z14)+($BH$6*AI14)</f>
        <v>0.65383175603453902</v>
      </c>
      <c r="BR14" s="13">
        <f>($BH$3*AV14)+($BH$4*BE14)+($BH$5*AA14)+($BH$6*AJ14)</f>
        <v>6.1929685433292879E-2</v>
      </c>
      <c r="BT14" t="s">
        <v>2</v>
      </c>
      <c r="BU14" s="1">
        <f t="shared" si="6"/>
        <v>0.73982418045974763</v>
      </c>
    </row>
    <row r="15" spans="1:73">
      <c r="A15">
        <v>1.5</v>
      </c>
      <c r="B15">
        <v>2.2847257425138202E-2</v>
      </c>
      <c r="C15">
        <v>2.21955388232133E-2</v>
      </c>
      <c r="D15">
        <v>2.7476211079044102E-2</v>
      </c>
      <c r="E15">
        <v>2.7471650241058802E-2</v>
      </c>
      <c r="F15">
        <v>2.4450860408982599E-2</v>
      </c>
      <c r="G15">
        <v>2.7476211079044102E-2</v>
      </c>
      <c r="H15">
        <v>2.7476211079044102E-2</v>
      </c>
      <c r="I15" s="22">
        <v>4.9250977513775503E-2</v>
      </c>
      <c r="J15">
        <v>1.5</v>
      </c>
      <c r="K15">
        <v>3.04635185139953E-3</v>
      </c>
      <c r="L15">
        <v>2.8623424356406602E-3</v>
      </c>
      <c r="M15">
        <v>5.1302678141964099E-3</v>
      </c>
      <c r="N15">
        <v>5.1303993220571604E-3</v>
      </c>
      <c r="O15">
        <v>4.0322347759392902E-3</v>
      </c>
      <c r="P15">
        <v>5.1302678141964099E-3</v>
      </c>
      <c r="Q15">
        <v>5.1302678141964099E-3</v>
      </c>
      <c r="R15" s="27">
        <v>3.8237210517048502E-2</v>
      </c>
      <c r="S15">
        <v>1.5</v>
      </c>
      <c r="T15">
        <v>0.790782954997309</v>
      </c>
      <c r="U15">
        <v>0.75662657708464798</v>
      </c>
      <c r="V15">
        <v>0.72776837613092304</v>
      </c>
      <c r="W15">
        <v>0.72791094658909095</v>
      </c>
      <c r="X15">
        <v>0.69913850666035404</v>
      </c>
      <c r="Y15">
        <v>0.72776837613092304</v>
      </c>
      <c r="Z15">
        <v>0.72776837613092304</v>
      </c>
      <c r="AA15" s="32">
        <v>0.26816482656295298</v>
      </c>
      <c r="AB15">
        <v>1.5</v>
      </c>
      <c r="AC15">
        <v>0.64747284145864303</v>
      </c>
      <c r="AD15">
        <v>0.60915395824581198</v>
      </c>
      <c r="AE15">
        <v>0.51786211298929796</v>
      </c>
      <c r="AF15">
        <v>0.51817199680496195</v>
      </c>
      <c r="AG15">
        <v>0.466059684611833</v>
      </c>
      <c r="AH15">
        <v>0.51786211298929796</v>
      </c>
      <c r="AI15">
        <v>0.51786211298929796</v>
      </c>
      <c r="AJ15" s="37">
        <v>-9.6601270942950707E-2</v>
      </c>
      <c r="AN15">
        <v>1.5</v>
      </c>
      <c r="AO15">
        <f t="shared" si="0"/>
        <v>0.57037044107589518</v>
      </c>
      <c r="AP15">
        <f>1-(C15/$AL$3)</f>
        <v>0.58262563522359878</v>
      </c>
      <c r="AQ15">
        <f>1-(D15/$AL$3)</f>
        <v>0.48332562516641253</v>
      </c>
      <c r="AR15">
        <f>1-(E15/$AL$3)</f>
        <v>0.48341138910628012</v>
      </c>
      <c r="AS15">
        <f>1-(F15/$AL$3)</f>
        <v>0.5402156076173984</v>
      </c>
      <c r="AT15">
        <f>1-(G15/$AL$3)</f>
        <v>0.48332562516641253</v>
      </c>
      <c r="AU15">
        <f>1-(H15/$AL$3)</f>
        <v>0.48332562516641253</v>
      </c>
      <c r="AV15" s="6">
        <f t="shared" si="7"/>
        <v>7.3863643583628957E-2</v>
      </c>
      <c r="AW15">
        <v>1.5</v>
      </c>
      <c r="AX15">
        <f t="shared" si="2"/>
        <v>0.67824965941817128</v>
      </c>
      <c r="AY15">
        <f>1-(L15/$AL$4)</f>
        <v>0.69768441123893687</v>
      </c>
      <c r="AZ15">
        <f>1-(M15/$AL$4)</f>
        <v>0.45815010970077086</v>
      </c>
      <c r="BA15">
        <f>1-(N15/$AL$4)</f>
        <v>0.45813622007112542</v>
      </c>
      <c r="BB15">
        <f>1-(O15/$AL$4)</f>
        <v>0.57412243373386684</v>
      </c>
      <c r="BC15">
        <f>1-(P15/$AL$4)</f>
        <v>0.45815010970077086</v>
      </c>
      <c r="BD15" s="6">
        <f t="shared" si="8"/>
        <v>0.45815010970077086</v>
      </c>
      <c r="BE15" s="6">
        <f t="shared" si="9"/>
        <v>-3.0385471235397095</v>
      </c>
      <c r="BJ15" s="14">
        <v>1.5</v>
      </c>
      <c r="BK15" s="15">
        <f t="shared" si="4"/>
        <v>0.67171897423750471</v>
      </c>
      <c r="BL15" s="16">
        <f>($BH$3*AP15)+($BH$4*AY15)+($BH$5*U15)+($BH$6*AD15)</f>
        <v>0.6615226454482489</v>
      </c>
      <c r="BM15" s="16">
        <f>($BH$3*AQ15)+($BH$4*AZ15)+($BH$5*V15)+($BH$6*AE15)</f>
        <v>0.54677655599685115</v>
      </c>
      <c r="BN15" s="16">
        <f>($BH$3*AR15)+($BH$4*BA15)+($BH$5*W15)+($BH$6*AF15)</f>
        <v>0.54690763814286458</v>
      </c>
      <c r="BO15" s="16">
        <f>($BH$3*AS15)+($BH$4*BB15)+($BH$5*X15)+($BH$6*AG15)</f>
        <v>0.56988405815586307</v>
      </c>
      <c r="BP15" s="16">
        <f>($BH$3*AT15)+($BH$4*BC15)+($BH$5*Y15)+($BH$6*AH15)</f>
        <v>0.54677655599685115</v>
      </c>
      <c r="BQ15" s="16">
        <f>($BH$3*AU15)+($BH$4*BD15)+($BH$5*Z15)+($BH$6*AI15)</f>
        <v>0.54677655599685115</v>
      </c>
      <c r="BR15" s="13">
        <f>($BH$3*AV15)+($BH$4*BE15)+($BH$5*AA15)+($BH$6*AJ15)</f>
        <v>-0.69827998108401967</v>
      </c>
      <c r="BT15" t="s">
        <v>2</v>
      </c>
      <c r="BU15" s="1">
        <f t="shared" si="6"/>
        <v>0.67171897423750471</v>
      </c>
    </row>
    <row r="16" spans="1:73">
      <c r="A16">
        <v>2</v>
      </c>
      <c r="B16">
        <v>2.8104531343321099E-2</v>
      </c>
      <c r="C16">
        <v>2.7081099838032099E-2</v>
      </c>
      <c r="D16">
        <v>3.1692370651711599E-2</v>
      </c>
      <c r="E16">
        <v>3.1687869312892997E-2</v>
      </c>
      <c r="F16">
        <v>2.8424721433737199E-2</v>
      </c>
      <c r="G16">
        <v>3.2343696679959101E-2</v>
      </c>
      <c r="H16">
        <v>3.2347919186334201E-2</v>
      </c>
      <c r="I16" s="22">
        <v>4.7504491506815301E-2</v>
      </c>
      <c r="J16">
        <v>2</v>
      </c>
      <c r="K16">
        <v>4.6104229766664997E-3</v>
      </c>
      <c r="L16">
        <v>4.29677473806752E-3</v>
      </c>
      <c r="M16">
        <v>6.9343681694381699E-3</v>
      </c>
      <c r="N16">
        <v>6.9350248801958699E-3</v>
      </c>
      <c r="O16">
        <v>4.9712654922257297E-3</v>
      </c>
      <c r="P16">
        <v>7.2035274831354799E-3</v>
      </c>
      <c r="Q16">
        <v>7.2163831046914697E-3</v>
      </c>
      <c r="R16" s="27">
        <v>5.8684335781165803E-2</v>
      </c>
      <c r="S16">
        <v>2</v>
      </c>
      <c r="T16">
        <v>0.71743071760641897</v>
      </c>
      <c r="U16">
        <v>0.68081216552362001</v>
      </c>
      <c r="V16">
        <v>0.66628082947009903</v>
      </c>
      <c r="W16">
        <v>0.66648331027270402</v>
      </c>
      <c r="X16">
        <v>0.63327822815720303</v>
      </c>
      <c r="Y16">
        <v>0.659936184412236</v>
      </c>
      <c r="Z16">
        <v>0.65879823495397405</v>
      </c>
      <c r="AA16" s="32">
        <v>8.6589658926130107E-3</v>
      </c>
      <c r="AB16">
        <v>2</v>
      </c>
      <c r="AC16">
        <v>0.466417121804931</v>
      </c>
      <c r="AD16">
        <v>0.40327114353140803</v>
      </c>
      <c r="AE16">
        <v>0.38038975743820003</v>
      </c>
      <c r="AF16">
        <v>0.38092115501568202</v>
      </c>
      <c r="AG16">
        <v>0.31007013529424599</v>
      </c>
      <c r="AH16">
        <v>0.372005833388875</v>
      </c>
      <c r="AI16">
        <v>0.368677079419926</v>
      </c>
      <c r="AJ16" s="37">
        <v>-2.3325254805899701E-2</v>
      </c>
      <c r="AN16">
        <v>2</v>
      </c>
      <c r="AO16">
        <f t="shared" si="0"/>
        <v>0.47151042332483872</v>
      </c>
      <c r="AP16">
        <f>1-(C16/$AL$3)</f>
        <v>0.49075546521431124</v>
      </c>
      <c r="AQ16">
        <f>1-(D16/$AL$3)</f>
        <v>0.40404316496330039</v>
      </c>
      <c r="AR16">
        <f>1-(E16/$AL$3)</f>
        <v>0.40412781005549758</v>
      </c>
      <c r="AS16">
        <f>1-(F16/$AL$3)</f>
        <v>0.46548943250053165</v>
      </c>
      <c r="AT16">
        <f>1-(G16/$AL$3)</f>
        <v>0.39179535293821788</v>
      </c>
      <c r="AU16">
        <f>1-(H16/$AL$3)</f>
        <v>0.39171595113003876</v>
      </c>
      <c r="AV16" s="6">
        <f t="shared" si="7"/>
        <v>0.10670531026051644</v>
      </c>
      <c r="AW16">
        <v>2</v>
      </c>
      <c r="AX16">
        <f t="shared" si="2"/>
        <v>0.51305520986118491</v>
      </c>
      <c r="AY16">
        <f>1-(L16/$AL$4)</f>
        <v>0.54618218682077346</v>
      </c>
      <c r="AZ16">
        <f>1-(M16/$AL$4)</f>
        <v>0.26760419377967992</v>
      </c>
      <c r="BA16">
        <f>1-(N16/$AL$4)</f>
        <v>0.26753483314103388</v>
      </c>
      <c r="BB16">
        <f>1-(O16/$AL$4)</f>
        <v>0.47494365612708556</v>
      </c>
      <c r="BC16">
        <f>1-(P16/$AL$4)</f>
        <v>0.23917605905417383</v>
      </c>
      <c r="BD16" s="6">
        <f t="shared" si="8"/>
        <v>0.23781827084854334</v>
      </c>
      <c r="BE16" s="6">
        <f t="shared" si="9"/>
        <v>-5.1981366386597854</v>
      </c>
      <c r="BJ16" s="14">
        <v>2</v>
      </c>
      <c r="BK16" s="15">
        <f t="shared" si="4"/>
        <v>0.54210336814934335</v>
      </c>
      <c r="BL16" s="16">
        <f>($BH$3*AP16)+($BH$4*AY16)+($BH$5*U16)+($BH$6*AD16)</f>
        <v>0.53025524027252824</v>
      </c>
      <c r="BM16" s="16">
        <f>($BH$3*AQ16)+($BH$4*AZ16)+($BH$5*V16)+($BH$6*AE16)</f>
        <v>0.42957948641281984</v>
      </c>
      <c r="BN16" s="16">
        <f>($BH$3*AR16)+($BH$4*BA16)+($BH$5*W16)+($BH$6*AF16)</f>
        <v>0.42976677712122935</v>
      </c>
      <c r="BO16" s="16">
        <f>($BH$3*AS16)+($BH$4*BB16)+($BH$5*X16)+($BH$6*AG16)</f>
        <v>0.47094536301976653</v>
      </c>
      <c r="BP16" s="16">
        <f>($BH$3*AT16)+($BH$4*BC16)+($BH$5*Y16)+($BH$6*AH16)</f>
        <v>0.41572835744837566</v>
      </c>
      <c r="BQ16" s="16">
        <f>($BH$3*AU16)+($BH$4*BD16)+($BH$5*Z16)+($BH$6*AI16)</f>
        <v>0.4142523840881206</v>
      </c>
      <c r="BR16" s="13">
        <f>($BH$3*AV16)+($BH$4*BE16)+($BH$5*AA16)+($BH$6*AJ16)</f>
        <v>-1.276524404328139</v>
      </c>
      <c r="BT16" t="s">
        <v>2</v>
      </c>
      <c r="BU16" s="1">
        <f t="shared" si="6"/>
        <v>0.54210336814934335</v>
      </c>
    </row>
    <row r="17" spans="1:73" ht="15" thickBot="1">
      <c r="A17">
        <v>2.5</v>
      </c>
      <c r="B17">
        <v>3.02838540370645E-2</v>
      </c>
      <c r="C17">
        <v>2.8970450004564399E-2</v>
      </c>
      <c r="D17">
        <v>3.5081796855294903E-2</v>
      </c>
      <c r="E17">
        <v>3.5115577421779898E-2</v>
      </c>
      <c r="F17">
        <v>3.0845852424105199E-2</v>
      </c>
      <c r="G17">
        <v>3.5081796855294903E-2</v>
      </c>
      <c r="H17">
        <v>3.5081796855294903E-2</v>
      </c>
      <c r="I17" s="22">
        <v>3.5492649428263703E-2</v>
      </c>
      <c r="J17">
        <v>2.5</v>
      </c>
      <c r="K17">
        <v>4.6232085631936204E-3</v>
      </c>
      <c r="L17">
        <v>4.2756432306949596E-3</v>
      </c>
      <c r="M17">
        <v>7.7722041397183103E-3</v>
      </c>
      <c r="N17">
        <v>7.8226513908970594E-3</v>
      </c>
      <c r="O17">
        <v>5.5045614861804204E-3</v>
      </c>
      <c r="P17">
        <v>7.7722041397183103E-3</v>
      </c>
      <c r="Q17">
        <v>7.7722041397183103E-3</v>
      </c>
      <c r="R17" s="27">
        <v>1.19983706135808E-2</v>
      </c>
      <c r="S17">
        <v>2.5</v>
      </c>
      <c r="T17">
        <v>0.68249687160427397</v>
      </c>
      <c r="U17">
        <v>0.64804784704669804</v>
      </c>
      <c r="V17">
        <v>0.59559657652925302</v>
      </c>
      <c r="W17">
        <v>0.59534295586142905</v>
      </c>
      <c r="X17">
        <v>0.57730055168780803</v>
      </c>
      <c r="Y17">
        <v>0.59559657652925302</v>
      </c>
      <c r="Z17">
        <v>0.59559657652925302</v>
      </c>
      <c r="AA17" s="32">
        <v>0.38604790268053202</v>
      </c>
      <c r="AB17">
        <v>2.5</v>
      </c>
      <c r="AC17">
        <v>0.41054185474131499</v>
      </c>
      <c r="AD17">
        <v>0.33255603634727399</v>
      </c>
      <c r="AE17">
        <v>0.27339903986995301</v>
      </c>
      <c r="AF17">
        <v>0.27221080821236299</v>
      </c>
      <c r="AG17">
        <v>0.109475094120978</v>
      </c>
      <c r="AH17">
        <v>0.27339903986995301</v>
      </c>
      <c r="AI17">
        <v>0.27339903986995301</v>
      </c>
      <c r="AJ17" s="37">
        <v>-0.33193459404648501</v>
      </c>
      <c r="AN17">
        <v>2.5</v>
      </c>
      <c r="AO17">
        <f t="shared" si="0"/>
        <v>0.43052951125107353</v>
      </c>
      <c r="AP17">
        <f>1-(C17/$AL$3)</f>
        <v>0.4552273200371425</v>
      </c>
      <c r="AQ17">
        <f>1-(D17/$AL$3)</f>
        <v>0.34030695112570053</v>
      </c>
      <c r="AR17">
        <f>1-(E17/$AL$3)</f>
        <v>0.33967172696688375</v>
      </c>
      <c r="AS17">
        <f>1-(F17/$AL$3)</f>
        <v>0.41996145423453668</v>
      </c>
      <c r="AT17">
        <f>1-(G17/$AL$3)</f>
        <v>0.34030695112570053</v>
      </c>
      <c r="AU17">
        <f>1-(H17/$AL$3)</f>
        <v>0.34030695112570053</v>
      </c>
      <c r="AV17" s="6">
        <f t="shared" si="7"/>
        <v>0.33258110436769073</v>
      </c>
      <c r="AW17">
        <v>2.5</v>
      </c>
      <c r="AX17">
        <f t="shared" si="2"/>
        <v>0.51170481863249284</v>
      </c>
      <c r="AY17">
        <f>1-(L17/$AL$4)</f>
        <v>0.54841405957408185</v>
      </c>
      <c r="AZ17">
        <f>1-(M17/$AL$4)</f>
        <v>0.17911342779495076</v>
      </c>
      <c r="BA17">
        <f>1-(N17/$AL$4)</f>
        <v>0.17378527758777018</v>
      </c>
      <c r="BB17">
        <f>1-(O17/$AL$4)</f>
        <v>0.41861786841250592</v>
      </c>
      <c r="BC17">
        <f>1-(P17/$AL$4)</f>
        <v>0.17911342779495076</v>
      </c>
      <c r="BD17" s="6">
        <f t="shared" si="8"/>
        <v>0.17911342779495076</v>
      </c>
      <c r="BE17" s="6">
        <f t="shared" si="9"/>
        <v>-0.26724686433482003</v>
      </c>
      <c r="BJ17" s="17">
        <v>2.5</v>
      </c>
      <c r="BK17" s="18">
        <f t="shared" si="4"/>
        <v>0.5088182640572888</v>
      </c>
      <c r="BL17" s="19">
        <f>($BH$3*AP17)+($BH$4*AY17)+($BH$5*U17)+($BH$6*AD17)</f>
        <v>0.49606131575129908</v>
      </c>
      <c r="BM17" s="19">
        <f>($BH$3*AQ17)+($BH$4*AZ17)+($BH$5*V17)+($BH$6*AE17)</f>
        <v>0.34710399882996434</v>
      </c>
      <c r="BN17" s="19">
        <f>($BH$3*AR17)+($BH$4*BA17)+($BH$5*W17)+($BH$6*AF17)</f>
        <v>0.34525269215711152</v>
      </c>
      <c r="BO17" s="19">
        <f>($BH$3*AS17)+($BH$4*BB17)+($BH$5*X17)+($BH$6*AG17)</f>
        <v>0.38133874211395713</v>
      </c>
      <c r="BP17" s="19">
        <f>($BH$3*AT17)+($BH$4*BC17)+($BH$5*Y17)+($BH$6*AH17)</f>
        <v>0.34710399882996434</v>
      </c>
      <c r="BQ17" s="19">
        <f>($BH$3*AU17)+($BH$4*BD17)+($BH$5*Z17)+($BH$6*AI17)</f>
        <v>0.34710399882996434</v>
      </c>
      <c r="BR17" s="20">
        <f>($BH$3*AV17)+($BH$4*BE17)+($BH$5*AA17)+($BH$6*AJ17)</f>
        <v>2.9861887166729426E-2</v>
      </c>
      <c r="BT17" t="s">
        <v>2</v>
      </c>
      <c r="BU17" s="1">
        <f t="shared" si="6"/>
        <v>0.5088182640572888</v>
      </c>
    </row>
    <row r="18" spans="1:73" ht="15" thickBot="1">
      <c r="A18" t="s">
        <v>10</v>
      </c>
      <c r="J18" t="s">
        <v>10</v>
      </c>
      <c r="S18" t="s">
        <v>10</v>
      </c>
      <c r="AB18" t="s">
        <v>10</v>
      </c>
      <c r="AN18" t="s">
        <v>10</v>
      </c>
      <c r="AW18" t="s">
        <v>10</v>
      </c>
      <c r="BJ18" t="s">
        <v>10</v>
      </c>
      <c r="BU18" s="1"/>
    </row>
    <row r="19" spans="1:73" ht="15" thickBot="1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J19" t="s">
        <v>1</v>
      </c>
      <c r="K19" t="s">
        <v>2</v>
      </c>
      <c r="L19" t="s">
        <v>3</v>
      </c>
      <c r="M19" t="s">
        <v>4</v>
      </c>
      <c r="N19" t="s">
        <v>5</v>
      </c>
      <c r="O19" t="s">
        <v>6</v>
      </c>
      <c r="P19" t="s">
        <v>7</v>
      </c>
      <c r="Q19" t="s">
        <v>8</v>
      </c>
      <c r="S19" t="s">
        <v>1</v>
      </c>
      <c r="T19" t="s">
        <v>2</v>
      </c>
      <c r="U19" t="s">
        <v>3</v>
      </c>
      <c r="V19" t="s">
        <v>4</v>
      </c>
      <c r="W19" t="s">
        <v>5</v>
      </c>
      <c r="X19" t="s">
        <v>6</v>
      </c>
      <c r="Y19" t="s">
        <v>7</v>
      </c>
      <c r="Z19" t="s">
        <v>8</v>
      </c>
      <c r="AB19" t="s">
        <v>1</v>
      </c>
      <c r="AC19" t="s">
        <v>2</v>
      </c>
      <c r="AD19" t="s">
        <v>3</v>
      </c>
      <c r="AE19" t="s">
        <v>4</v>
      </c>
      <c r="AF19" t="s">
        <v>5</v>
      </c>
      <c r="AG19" t="s">
        <v>6</v>
      </c>
      <c r="AH19" t="s">
        <v>7</v>
      </c>
      <c r="AI19" t="s">
        <v>8</v>
      </c>
      <c r="AN19" t="s">
        <v>1</v>
      </c>
      <c r="AO19" t="s">
        <v>2</v>
      </c>
      <c r="AP19" t="s">
        <v>3</v>
      </c>
      <c r="AQ19" t="s">
        <v>4</v>
      </c>
      <c r="AR19" t="s">
        <v>5</v>
      </c>
      <c r="AS19" t="s">
        <v>6</v>
      </c>
      <c r="AT19" t="s">
        <v>7</v>
      </c>
      <c r="AU19" t="s">
        <v>8</v>
      </c>
      <c r="AW19" t="s">
        <v>1</v>
      </c>
      <c r="AX19" t="s">
        <v>2</v>
      </c>
      <c r="AY19" t="s">
        <v>3</v>
      </c>
      <c r="AZ19" t="s">
        <v>4</v>
      </c>
      <c r="BA19" t="s">
        <v>5</v>
      </c>
      <c r="BB19" t="s">
        <v>6</v>
      </c>
      <c r="BC19" t="s">
        <v>7</v>
      </c>
      <c r="BD19" t="s">
        <v>8</v>
      </c>
      <c r="BJ19" s="2" t="s">
        <v>1</v>
      </c>
      <c r="BK19" s="7" t="s">
        <v>2</v>
      </c>
      <c r="BL19" s="8" t="s">
        <v>3</v>
      </c>
      <c r="BM19" s="8" t="s">
        <v>4</v>
      </c>
      <c r="BN19" s="8" t="s">
        <v>5</v>
      </c>
      <c r="BO19" s="8" t="s">
        <v>6</v>
      </c>
      <c r="BP19" s="8" t="s">
        <v>7</v>
      </c>
      <c r="BQ19" s="8" t="s">
        <v>8</v>
      </c>
      <c r="BR19" s="9"/>
      <c r="BU19" s="1"/>
    </row>
    <row r="20" spans="1:73">
      <c r="A20">
        <v>0.2</v>
      </c>
      <c r="B20">
        <v>5.7521413596885705E-4</v>
      </c>
      <c r="C20">
        <v>7.8992490266547298E-4</v>
      </c>
      <c r="D20">
        <v>8.0549490732409804E-4</v>
      </c>
      <c r="E20">
        <v>8.0552974626597505E-4</v>
      </c>
      <c r="F20">
        <v>1.2835762408170499E-3</v>
      </c>
      <c r="G20">
        <v>2.6112033471297402E-3</v>
      </c>
      <c r="H20">
        <v>2.6049759391380402E-3</v>
      </c>
      <c r="I20" s="23">
        <v>4.0954563686002197E-3</v>
      </c>
      <c r="J20">
        <v>0.2</v>
      </c>
      <c r="K20">
        <v>7.9142333033850804E-6</v>
      </c>
      <c r="L20">
        <v>1.67294848757084E-5</v>
      </c>
      <c r="M20">
        <v>1.7418499190207001E-5</v>
      </c>
      <c r="N20">
        <v>1.7422818067299002E-5</v>
      </c>
      <c r="O20">
        <v>3.4381974556529099E-5</v>
      </c>
      <c r="P20">
        <v>1.3563768220262599E-4</v>
      </c>
      <c r="Q20">
        <v>1.3253450786254999E-4</v>
      </c>
      <c r="R20" s="28">
        <v>6.3905291718628903E-4</v>
      </c>
      <c r="S20">
        <v>0.2</v>
      </c>
      <c r="T20">
        <v>0.98452979439948796</v>
      </c>
      <c r="U20">
        <v>0.97861469773881005</v>
      </c>
      <c r="V20">
        <v>0.97486205805286796</v>
      </c>
      <c r="W20">
        <v>0.97486229015652404</v>
      </c>
      <c r="X20">
        <v>0.95944280630707801</v>
      </c>
      <c r="Y20">
        <v>0.93201027176531503</v>
      </c>
      <c r="Z20">
        <v>0.93113533055471298</v>
      </c>
      <c r="AA20" s="33">
        <v>0.82577911557517902</v>
      </c>
      <c r="AB20">
        <v>0.2</v>
      </c>
      <c r="AC20">
        <v>0.99816339237047402</v>
      </c>
      <c r="AD20">
        <v>0.99608547428121696</v>
      </c>
      <c r="AE20">
        <v>0.99481881155299201</v>
      </c>
      <c r="AF20">
        <v>0.99481911592585404</v>
      </c>
      <c r="AG20">
        <v>0.99000056398494896</v>
      </c>
      <c r="AH20">
        <v>0.96871319384559496</v>
      </c>
      <c r="AI20">
        <v>0.96696895176906505</v>
      </c>
      <c r="AJ20" s="38">
        <v>0.88321011992315201</v>
      </c>
      <c r="AN20">
        <v>0.2</v>
      </c>
      <c r="AO20">
        <f t="shared" si="0"/>
        <v>0.98918342841223028</v>
      </c>
      <c r="AP20">
        <f t="shared" ref="AP20:AP49" si="10">1-(C20/$AL$3)</f>
        <v>0.98514591571319499</v>
      </c>
      <c r="AQ20">
        <f t="shared" ref="AQ20:AQ49" si="11">1-(D20/$AL$3)</f>
        <v>0.98485313071456448</v>
      </c>
      <c r="AR20">
        <f t="shared" ref="AR20:AR49" si="12">1-(E20/$AL$3)</f>
        <v>0.98485247558826405</v>
      </c>
      <c r="AS20">
        <f t="shared" ref="AS20:AS49" si="13">1-(F20/$AL$3)</f>
        <v>0.97586308571194502</v>
      </c>
      <c r="AT20">
        <f t="shared" ref="AT20:AT49" si="14">1-(G20/$AL$3)</f>
        <v>0.95089782018851177</v>
      </c>
      <c r="AU20">
        <f t="shared" ref="AU20:AV49" si="15">1-(H20/$AL$3)</f>
        <v>0.95101492302054669</v>
      </c>
      <c r="AV20" s="6">
        <f t="shared" si="15"/>
        <v>0.92298729425184012</v>
      </c>
      <c r="AW20">
        <v>0.2</v>
      </c>
      <c r="AX20">
        <f t="shared" si="2"/>
        <v>0.99916411255658522</v>
      </c>
      <c r="AY20">
        <f t="shared" ref="AY20:AY49" si="16">1-(L20/$AL$4)</f>
        <v>0.99823306114359545</v>
      </c>
      <c r="AZ20">
        <f t="shared" ref="AZ20:AZ49" si="17">1-(M20/$AL$4)</f>
        <v>0.99816028865992656</v>
      </c>
      <c r="BA20">
        <f t="shared" ref="BA20:BA49" si="18">1-(N20/$AL$4)</f>
        <v>0.99815983250770157</v>
      </c>
      <c r="BB20">
        <f t="shared" ref="BB20:BB49" si="19">1-(O20/$AL$4)</f>
        <v>0.99636863613821991</v>
      </c>
      <c r="BC20">
        <f>1-(P20/$AL$4)</f>
        <v>0.98567418585467226</v>
      </c>
      <c r="BD20">
        <f>1-(Q20/$AL$4)</f>
        <v>0.98600193768686639</v>
      </c>
      <c r="BE20" s="6">
        <f>1-(R20/$AL$4)</f>
        <v>0.93250435150488686</v>
      </c>
      <c r="BJ20" s="10">
        <v>0.2</v>
      </c>
      <c r="BK20" s="11">
        <f t="shared" si="4"/>
        <v>0.99276018193469429</v>
      </c>
      <c r="BL20" s="12">
        <f t="shared" ref="BL20:BL49" si="20">($BH$3*AP20)+($BH$4*AY20)+($BH$5*U20)+($BH$6*AD20)</f>
        <v>0.98951978721920431</v>
      </c>
      <c r="BM20" s="21">
        <f t="shared" ref="BM20:BM49" si="21">($BH$3*AQ20)+($BH$4*AZ20)+($BH$5*V20)+($BH$6*AE20)</f>
        <v>0.98817357224508773</v>
      </c>
      <c r="BN20" s="12">
        <f t="shared" ref="BN20:BN49" si="22">($BH$3*AR20)+($BH$4*BA20)+($BH$5*W20)+($BH$6*AF20)</f>
        <v>0.9881734285445859</v>
      </c>
      <c r="BO20" s="12">
        <f t="shared" ref="BO20:BO49" si="23">($BH$3*AS20)+($BH$4*BB20)+($BH$5*X20)+($BH$6*AG20)</f>
        <v>0.98041877303554803</v>
      </c>
      <c r="BP20" s="12">
        <f t="shared" ref="BP20:BP49" si="24">($BH$3*AT20)+($BH$4*BC20)+($BH$5*Y20)+($BH$6*AH20)</f>
        <v>0.95932386791352353</v>
      </c>
      <c r="BQ20" s="12">
        <f t="shared" ref="BQ20:BR49" si="25">($BH$3*AU20)+($BH$4*BD20)+($BH$5*Z20)+($BH$6*AI20)</f>
        <v>0.95878028575779783</v>
      </c>
      <c r="BR20" s="13">
        <f t="shared" si="25"/>
        <v>0.89112022031376448</v>
      </c>
      <c r="BT20" t="s">
        <v>2</v>
      </c>
      <c r="BU20" s="1">
        <f t="shared" si="6"/>
        <v>0.99276018193469429</v>
      </c>
    </row>
    <row r="21" spans="1:73">
      <c r="A21">
        <v>0.5</v>
      </c>
      <c r="B21">
        <v>3.86304370690666E-3</v>
      </c>
      <c r="C21">
        <v>4.0911083323595101E-3</v>
      </c>
      <c r="D21">
        <v>5.4411055565676903E-3</v>
      </c>
      <c r="E21">
        <v>5.4435203334911196E-3</v>
      </c>
      <c r="F21">
        <v>4.6219513155539701E-3</v>
      </c>
      <c r="G21">
        <v>5.4411055565676903E-3</v>
      </c>
      <c r="H21">
        <v>5.4411055565676903E-3</v>
      </c>
      <c r="I21" s="23">
        <v>8.8791553473322304E-3</v>
      </c>
      <c r="J21">
        <v>0.5</v>
      </c>
      <c r="K21">
        <v>2.26925480113751E-4</v>
      </c>
      <c r="L21">
        <v>2.5508176541623099E-4</v>
      </c>
      <c r="M21">
        <v>4.7490949171068798E-4</v>
      </c>
      <c r="N21">
        <v>4.75368514945201E-4</v>
      </c>
      <c r="O21">
        <v>3.0609371755861898E-4</v>
      </c>
      <c r="P21">
        <v>4.7490949171068798E-4</v>
      </c>
      <c r="Q21">
        <v>4.7490949171068798E-4</v>
      </c>
      <c r="R21" s="28">
        <v>2.2450550406147799E-3</v>
      </c>
      <c r="S21">
        <v>0.5</v>
      </c>
      <c r="T21">
        <v>0.90585671972265103</v>
      </c>
      <c r="U21">
        <v>0.89027254333683703</v>
      </c>
      <c r="V21">
        <v>0.85085763319365004</v>
      </c>
      <c r="W21">
        <v>0.85044730227562004</v>
      </c>
      <c r="X21">
        <v>0.855868440773216</v>
      </c>
      <c r="Y21">
        <v>0.85085763319365004</v>
      </c>
      <c r="Z21">
        <v>0.85085763319365004</v>
      </c>
      <c r="AA21" s="33">
        <v>0.63084048687181904</v>
      </c>
      <c r="AB21">
        <v>0.5</v>
      </c>
      <c r="AC21">
        <v>0.94864839721866001</v>
      </c>
      <c r="AD21">
        <v>0.93723504004518599</v>
      </c>
      <c r="AE21">
        <v>0.88991013182728496</v>
      </c>
      <c r="AF21">
        <v>0.889622477480428</v>
      </c>
      <c r="AG21">
        <v>0.91438403053516604</v>
      </c>
      <c r="AH21">
        <v>0.88991013182728496</v>
      </c>
      <c r="AI21">
        <v>0.88991013182728496</v>
      </c>
      <c r="AJ21" s="38">
        <v>0.59608653068859796</v>
      </c>
      <c r="AN21">
        <v>0.5</v>
      </c>
      <c r="AO21">
        <f t="shared" si="0"/>
        <v>0.92735768092336768</v>
      </c>
      <c r="AP21">
        <f t="shared" si="10"/>
        <v>0.92306905657707339</v>
      </c>
      <c r="AQ21">
        <f t="shared" si="11"/>
        <v>0.89768313382963805</v>
      </c>
      <c r="AR21">
        <f t="shared" si="12"/>
        <v>0.89763772533595287</v>
      </c>
      <c r="AS21">
        <f t="shared" si="13"/>
        <v>0.91308685904307718</v>
      </c>
      <c r="AT21">
        <f t="shared" si="14"/>
        <v>0.89768313382963805</v>
      </c>
      <c r="AU21">
        <f t="shared" si="15"/>
        <v>0.89768313382963805</v>
      </c>
      <c r="AV21" s="6">
        <f t="shared" si="15"/>
        <v>0.83303258135063107</v>
      </c>
      <c r="AW21">
        <v>0.5</v>
      </c>
      <c r="AX21">
        <f t="shared" si="2"/>
        <v>0.97603252871799717</v>
      </c>
      <c r="AY21">
        <f t="shared" si="16"/>
        <v>0.97305871123810561</v>
      </c>
      <c r="AZ21">
        <f t="shared" si="17"/>
        <v>0.94984089226815416</v>
      </c>
      <c r="BA21">
        <f t="shared" si="18"/>
        <v>0.94979241103904999</v>
      </c>
      <c r="BB21">
        <f t="shared" si="19"/>
        <v>0.96767091830538277</v>
      </c>
      <c r="BC21">
        <f>1-(P21/$AL$4)</f>
        <v>0.94984089226815416</v>
      </c>
      <c r="BD21">
        <f>1-(Q21/$AL$4)</f>
        <v>0.94984089226815416</v>
      </c>
      <c r="BE21" s="6">
        <f>1-(R21/$AL$4)</f>
        <v>0.76288122345063258</v>
      </c>
      <c r="BJ21" s="14">
        <v>0.5</v>
      </c>
      <c r="BK21" s="15">
        <f t="shared" si="4"/>
        <v>0.939473831645669</v>
      </c>
      <c r="BL21" s="16">
        <f t="shared" si="20"/>
        <v>0.93090883779930045</v>
      </c>
      <c r="BM21" s="16">
        <f t="shared" si="21"/>
        <v>0.89707294777968183</v>
      </c>
      <c r="BN21" s="16">
        <f t="shared" si="22"/>
        <v>0.89687497903276281</v>
      </c>
      <c r="BO21" s="16">
        <f t="shared" si="23"/>
        <v>0.91275256216421041</v>
      </c>
      <c r="BP21" s="16">
        <f t="shared" si="24"/>
        <v>0.89707294777968183</v>
      </c>
      <c r="BQ21" s="16">
        <f t="shared" si="25"/>
        <v>0.89707294777968183</v>
      </c>
      <c r="BR21" s="13">
        <f t="shared" si="25"/>
        <v>0.70571020559042019</v>
      </c>
      <c r="BT21" t="s">
        <v>2</v>
      </c>
      <c r="BU21" s="1">
        <f t="shared" si="6"/>
        <v>0.939473831645669</v>
      </c>
    </row>
    <row r="22" spans="1:73">
      <c r="A22">
        <v>1</v>
      </c>
      <c r="B22">
        <v>7.8467264890603895E-3</v>
      </c>
      <c r="C22">
        <v>7.7603890234391E-3</v>
      </c>
      <c r="D22">
        <v>8.7959013188968604E-3</v>
      </c>
      <c r="E22">
        <v>8.7944114740399603E-3</v>
      </c>
      <c r="F22">
        <v>8.4774212542057092E-3</v>
      </c>
      <c r="G22">
        <v>9.3844471532898606E-3</v>
      </c>
      <c r="H22">
        <v>9.2767509133420203E-3</v>
      </c>
      <c r="I22" s="23">
        <v>1.69804321345512E-2</v>
      </c>
      <c r="J22">
        <v>1</v>
      </c>
      <c r="K22">
        <v>8.1040150240138003E-4</v>
      </c>
      <c r="L22">
        <v>7.9982250318132197E-4</v>
      </c>
      <c r="M22">
        <v>1.1197542055735199E-3</v>
      </c>
      <c r="N22">
        <v>1.1194072957163099E-3</v>
      </c>
      <c r="O22">
        <v>9.0600783878589102E-4</v>
      </c>
      <c r="P22">
        <v>1.31732129491697E-3</v>
      </c>
      <c r="Q22">
        <v>1.2330049320473299E-3</v>
      </c>
      <c r="R22" s="28">
        <v>1.40178202163875E-2</v>
      </c>
      <c r="S22">
        <v>1</v>
      </c>
      <c r="T22">
        <v>0.793949078855545</v>
      </c>
      <c r="U22">
        <v>0.77464839349779901</v>
      </c>
      <c r="V22">
        <v>0.72709212019038705</v>
      </c>
      <c r="W22">
        <v>0.72852858572829804</v>
      </c>
      <c r="X22">
        <v>0.72814057001217602</v>
      </c>
      <c r="Y22">
        <v>0.70705943341931998</v>
      </c>
      <c r="Z22">
        <v>0.68933578200350998</v>
      </c>
      <c r="AA22" s="33">
        <v>0.21141552694731899</v>
      </c>
      <c r="AB22">
        <v>1</v>
      </c>
      <c r="AC22">
        <v>0.78253563733015796</v>
      </c>
      <c r="AD22">
        <v>0.75323193957555501</v>
      </c>
      <c r="AE22">
        <v>0.68297422860879697</v>
      </c>
      <c r="AF22">
        <v>0.68434305991352495</v>
      </c>
      <c r="AG22">
        <v>0.70645217932565296</v>
      </c>
      <c r="AH22">
        <v>0.65111105344620801</v>
      </c>
      <c r="AI22">
        <v>0.61636030925763796</v>
      </c>
      <c r="AJ22" s="38">
        <v>0.142674592065793</v>
      </c>
      <c r="AN22">
        <v>1</v>
      </c>
      <c r="AO22">
        <f t="shared" si="0"/>
        <v>0.85244681329742966</v>
      </c>
      <c r="AP22">
        <f t="shared" si="10"/>
        <v>0.85407033977079472</v>
      </c>
      <c r="AQ22">
        <f t="shared" si="11"/>
        <v>0.83459812555796287</v>
      </c>
      <c r="AR22">
        <f t="shared" si="12"/>
        <v>0.83462614123515444</v>
      </c>
      <c r="AS22">
        <f t="shared" si="13"/>
        <v>0.84058696033026381</v>
      </c>
      <c r="AT22">
        <f t="shared" si="14"/>
        <v>0.82353085903525658</v>
      </c>
      <c r="AU22">
        <f t="shared" si="15"/>
        <v>0.82555602499743752</v>
      </c>
      <c r="AV22" s="6">
        <f t="shared" si="15"/>
        <v>0.68069272243236001</v>
      </c>
      <c r="AW22">
        <v>1</v>
      </c>
      <c r="AX22">
        <f t="shared" si="2"/>
        <v>0.91440681440461991</v>
      </c>
      <c r="AY22">
        <f t="shared" si="16"/>
        <v>0.91552414975132479</v>
      </c>
      <c r="AZ22">
        <f t="shared" si="17"/>
        <v>0.88173352436433183</v>
      </c>
      <c r="BA22">
        <f t="shared" si="18"/>
        <v>0.88177016437512279</v>
      </c>
      <c r="BB22">
        <f t="shared" si="19"/>
        <v>0.90430904080720531</v>
      </c>
      <c r="BC22">
        <f>1-(P22/$AL$4)</f>
        <v>0.86086683483376691</v>
      </c>
      <c r="BD22">
        <f>1-(Q22/$AL$4)</f>
        <v>0.86977218122619515</v>
      </c>
      <c r="BE22" s="6">
        <f>1-(R22/$AL$4)</f>
        <v>-0.48053759015573516</v>
      </c>
      <c r="BJ22" s="14">
        <v>1</v>
      </c>
      <c r="BK22" s="15">
        <f t="shared" si="4"/>
        <v>0.83583458597193805</v>
      </c>
      <c r="BL22" s="16">
        <f t="shared" si="20"/>
        <v>0.82436870564886833</v>
      </c>
      <c r="BM22" s="16">
        <f t="shared" si="21"/>
        <v>0.78159949968036968</v>
      </c>
      <c r="BN22" s="16">
        <f t="shared" si="22"/>
        <v>0.78231698781302506</v>
      </c>
      <c r="BO22" s="16">
        <f t="shared" si="23"/>
        <v>0.7948721876188245</v>
      </c>
      <c r="BP22" s="16">
        <f t="shared" si="24"/>
        <v>0.76064204518363787</v>
      </c>
      <c r="BQ22" s="16">
        <f t="shared" si="25"/>
        <v>0.75025607437119513</v>
      </c>
      <c r="BR22" s="13">
        <f t="shared" si="25"/>
        <v>0.13856131282243422</v>
      </c>
      <c r="BT22" t="s">
        <v>2</v>
      </c>
      <c r="BU22" s="1">
        <f t="shared" si="6"/>
        <v>0.83583458597193805</v>
      </c>
    </row>
    <row r="23" spans="1:73">
      <c r="A23">
        <v>1.5</v>
      </c>
      <c r="B23">
        <v>1.0839011708777199E-2</v>
      </c>
      <c r="C23">
        <v>1.04874257857206E-2</v>
      </c>
      <c r="D23">
        <v>1.22562174041845E-2</v>
      </c>
      <c r="E23">
        <v>1.22771024123131E-2</v>
      </c>
      <c r="F23">
        <v>1.14074578515947E-2</v>
      </c>
      <c r="G23">
        <v>1.22562174041845E-2</v>
      </c>
      <c r="H23">
        <v>1.22562174041845E-2</v>
      </c>
      <c r="I23" s="23">
        <v>4.06379282753042E-2</v>
      </c>
      <c r="J23">
        <v>1.5</v>
      </c>
      <c r="K23">
        <v>1.3033340082753799E-3</v>
      </c>
      <c r="L23">
        <v>1.22687692578573E-3</v>
      </c>
      <c r="M23">
        <v>2.0035945935937701E-3</v>
      </c>
      <c r="N23">
        <v>2.0092390853929101E-3</v>
      </c>
      <c r="O23">
        <v>1.42509095464797E-3</v>
      </c>
      <c r="P23">
        <v>2.0035945935937701E-3</v>
      </c>
      <c r="Q23">
        <v>2.0035945935937701E-3</v>
      </c>
      <c r="R23" s="28">
        <v>6.6226092419697305E-2</v>
      </c>
      <c r="S23">
        <v>1.5</v>
      </c>
      <c r="T23">
        <v>0.53165115718813205</v>
      </c>
      <c r="U23">
        <v>0.68270302588255405</v>
      </c>
      <c r="V23">
        <v>0.57788417811516302</v>
      </c>
      <c r="W23">
        <v>0.57959505705194403</v>
      </c>
      <c r="X23">
        <v>0.61525147882736597</v>
      </c>
      <c r="Y23">
        <v>0.57788417811516302</v>
      </c>
      <c r="Z23">
        <v>0.57788417811516302</v>
      </c>
      <c r="AA23" s="33">
        <v>-0.16236690579392599</v>
      </c>
      <c r="AB23">
        <v>1.5</v>
      </c>
      <c r="AC23">
        <v>0.60262847411744302</v>
      </c>
      <c r="AD23">
        <v>0.56310718817677297</v>
      </c>
      <c r="AE23">
        <v>0.412527848102203</v>
      </c>
      <c r="AF23">
        <v>0.41431626986828302</v>
      </c>
      <c r="AG23">
        <v>0.44591765515266502</v>
      </c>
      <c r="AH23">
        <v>0.412527848102203</v>
      </c>
      <c r="AI23">
        <v>0.412527848102203</v>
      </c>
      <c r="AJ23" s="38">
        <v>-5.1826464289325601E-2</v>
      </c>
      <c r="AN23">
        <v>1.5</v>
      </c>
      <c r="AO23">
        <f t="shared" si="0"/>
        <v>0.79617860765680115</v>
      </c>
      <c r="AP23">
        <f t="shared" si="10"/>
        <v>0.80278997908909111</v>
      </c>
      <c r="AQ23">
        <f t="shared" si="11"/>
        <v>0.76952886819386501</v>
      </c>
      <c r="AR23">
        <f t="shared" si="12"/>
        <v>0.76913613760640531</v>
      </c>
      <c r="AS23">
        <f t="shared" si="13"/>
        <v>0.78548930429463559</v>
      </c>
      <c r="AT23">
        <f t="shared" si="14"/>
        <v>0.76952886819386501</v>
      </c>
      <c r="AU23">
        <f t="shared" si="15"/>
        <v>0.76952886819386501</v>
      </c>
      <c r="AV23" s="6">
        <f t="shared" si="15"/>
        <v>0.23582708963140508</v>
      </c>
      <c r="AW23">
        <v>1.5</v>
      </c>
      <c r="AX23">
        <f t="shared" si="2"/>
        <v>0.86234414752129496</v>
      </c>
      <c r="AY23">
        <f t="shared" si="16"/>
        <v>0.87041941050171412</v>
      </c>
      <c r="AZ23">
        <f t="shared" si="17"/>
        <v>0.78838385244943288</v>
      </c>
      <c r="BA23">
        <f t="shared" si="18"/>
        <v>0.78778769112356684</v>
      </c>
      <c r="BB23">
        <f t="shared" si="19"/>
        <v>0.84948439235362239</v>
      </c>
      <c r="BC23">
        <f>1-(P23/$AL$4)</f>
        <v>0.78838385244943288</v>
      </c>
      <c r="BD23">
        <f>1-(Q23/$AL$4)</f>
        <v>0.78838385244943288</v>
      </c>
      <c r="BE23" s="6">
        <f>1-(R23/$AL$4)</f>
        <v>-5.9946837498931727</v>
      </c>
      <c r="BJ23" s="14">
        <v>1.5</v>
      </c>
      <c r="BK23" s="15">
        <f t="shared" si="4"/>
        <v>0.69820059662091771</v>
      </c>
      <c r="BL23" s="16">
        <f t="shared" si="20"/>
        <v>0.72975490091253303</v>
      </c>
      <c r="BM23" s="16">
        <f t="shared" si="21"/>
        <v>0.637081186715166</v>
      </c>
      <c r="BN23" s="16">
        <f t="shared" si="22"/>
        <v>0.63770878891254978</v>
      </c>
      <c r="BO23" s="16">
        <f t="shared" si="23"/>
        <v>0.67403570765707221</v>
      </c>
      <c r="BP23" s="16">
        <f t="shared" si="24"/>
        <v>0.637081186715166</v>
      </c>
      <c r="BQ23" s="16">
        <f t="shared" si="25"/>
        <v>0.637081186715166</v>
      </c>
      <c r="BR23" s="13">
        <f t="shared" si="25"/>
        <v>-1.4932625075862547</v>
      </c>
      <c r="BT23" t="s">
        <v>3</v>
      </c>
      <c r="BU23" s="1">
        <f t="shared" si="6"/>
        <v>0.72975490091253303</v>
      </c>
    </row>
    <row r="24" spans="1:73">
      <c r="A24">
        <v>2</v>
      </c>
      <c r="B24">
        <v>1.48863934659092E-2</v>
      </c>
      <c r="C24">
        <v>1.4157904880276E-2</v>
      </c>
      <c r="D24">
        <v>1.5495216589344401E-2</v>
      </c>
      <c r="E24">
        <v>1.5504086538461401E-2</v>
      </c>
      <c r="F24">
        <v>1.50524729065807E-2</v>
      </c>
      <c r="G24">
        <v>1.58467648159233E-2</v>
      </c>
      <c r="H24">
        <v>1.5655307912908902E-2</v>
      </c>
      <c r="I24" s="23">
        <v>3.2174736627456298E-2</v>
      </c>
      <c r="J24">
        <v>2</v>
      </c>
      <c r="K24">
        <v>1.9656278409090899E-3</v>
      </c>
      <c r="L24">
        <v>1.8397293019480601E-3</v>
      </c>
      <c r="M24">
        <v>3.5669404369949101E-3</v>
      </c>
      <c r="N24">
        <v>3.5685404818916501E-3</v>
      </c>
      <c r="O24">
        <v>2.38699835036758E-3</v>
      </c>
      <c r="P24">
        <v>3.75721950763244E-3</v>
      </c>
      <c r="Q24">
        <v>3.6115302441417098E-3</v>
      </c>
      <c r="R24" s="28">
        <v>4.4492987630186401E-2</v>
      </c>
      <c r="S24">
        <v>2</v>
      </c>
      <c r="T24">
        <v>-0.14054924132508101</v>
      </c>
      <c r="U24">
        <v>0.59598294789975603</v>
      </c>
      <c r="V24">
        <v>0.51252394126010004</v>
      </c>
      <c r="W24">
        <v>0.51375061160580404</v>
      </c>
      <c r="X24">
        <v>0.52206190371167405</v>
      </c>
      <c r="Y24">
        <v>0.49590566926069901</v>
      </c>
      <c r="Z24">
        <v>0.49053536545790499</v>
      </c>
      <c r="AA24" s="33">
        <v>-0.24361868772119</v>
      </c>
      <c r="AB24">
        <v>2</v>
      </c>
      <c r="AC24">
        <v>0.45934402445210998</v>
      </c>
      <c r="AD24">
        <v>0.39511647920048698</v>
      </c>
      <c r="AE24">
        <v>0.27182534278659098</v>
      </c>
      <c r="AF24">
        <v>0.272411691110446</v>
      </c>
      <c r="AG24">
        <v>0.25023150381925802</v>
      </c>
      <c r="AH24">
        <v>0.25579200714606298</v>
      </c>
      <c r="AI24">
        <v>0.23974907901588599</v>
      </c>
      <c r="AJ24" s="38">
        <v>-1.00083665779096E-2</v>
      </c>
      <c r="AN24">
        <v>2</v>
      </c>
      <c r="AO24">
        <f t="shared" si="0"/>
        <v>0.72006991737694048</v>
      </c>
      <c r="AP24">
        <f t="shared" si="10"/>
        <v>0.73376872699347129</v>
      </c>
      <c r="AQ24">
        <f t="shared" si="11"/>
        <v>0.70862134807529364</v>
      </c>
      <c r="AR24">
        <f t="shared" si="12"/>
        <v>0.70845455377452027</v>
      </c>
      <c r="AS24">
        <f t="shared" si="13"/>
        <v>0.71694688884382862</v>
      </c>
      <c r="AT24">
        <f t="shared" si="14"/>
        <v>0.70201068550362478</v>
      </c>
      <c r="AU24">
        <f t="shared" si="15"/>
        <v>0.70561092264651037</v>
      </c>
      <c r="AV24" s="6">
        <f t="shared" si="15"/>
        <v>0.39497254972301465</v>
      </c>
      <c r="AW24">
        <v>2</v>
      </c>
      <c r="AX24">
        <f t="shared" si="2"/>
        <v>0.79239383429098209</v>
      </c>
      <c r="AY24">
        <f t="shared" si="16"/>
        <v>0.80569101720531155</v>
      </c>
      <c r="AZ24">
        <f t="shared" si="17"/>
        <v>0.62326600589128967</v>
      </c>
      <c r="BA24">
        <f t="shared" si="18"/>
        <v>0.62309701195507183</v>
      </c>
      <c r="BB24">
        <f t="shared" si="19"/>
        <v>0.74788941998075642</v>
      </c>
      <c r="BC24">
        <f>1-(P24/$AL$4)</f>
        <v>0.60316906411646065</v>
      </c>
      <c r="BD24">
        <f>1-(Q24/$AL$4)</f>
        <v>0.61855650865137957</v>
      </c>
      <c r="BE24" s="6">
        <f>1-(R24/$AL$4)</f>
        <v>-3.6992713323442254</v>
      </c>
      <c r="BJ24" s="14">
        <v>2</v>
      </c>
      <c r="BK24" s="15">
        <f t="shared" si="4"/>
        <v>0.45781463369873787</v>
      </c>
      <c r="BL24" s="16">
        <f t="shared" si="20"/>
        <v>0.63263979282475646</v>
      </c>
      <c r="BM24" s="16">
        <f t="shared" si="21"/>
        <v>0.5290591595033185</v>
      </c>
      <c r="BN24" s="16">
        <f t="shared" si="22"/>
        <v>0.52942846711146063</v>
      </c>
      <c r="BO24" s="16">
        <f t="shared" si="23"/>
        <v>0.55928242908887926</v>
      </c>
      <c r="BP24" s="16">
        <f t="shared" si="24"/>
        <v>0.5142193565067118</v>
      </c>
      <c r="BQ24" s="16">
        <f t="shared" si="25"/>
        <v>0.51361296894292019</v>
      </c>
      <c r="BR24" s="13">
        <f t="shared" si="25"/>
        <v>-0.88948145923007749</v>
      </c>
      <c r="BT24" t="s">
        <v>3</v>
      </c>
      <c r="BU24" s="1">
        <f t="shared" si="6"/>
        <v>0.63263979282475646</v>
      </c>
    </row>
    <row r="25" spans="1:73" ht="15" thickBot="1">
      <c r="A25">
        <v>2.5</v>
      </c>
      <c r="B25">
        <v>1.61286841110337E-2</v>
      </c>
      <c r="C25">
        <v>1.5477756342652501E-2</v>
      </c>
      <c r="D25">
        <v>1.5859332060361098E-2</v>
      </c>
      <c r="E25">
        <v>1.6008544468707201E-2</v>
      </c>
      <c r="F25">
        <v>1.5972410821643201E-2</v>
      </c>
      <c r="G25">
        <v>1.5859332060361098E-2</v>
      </c>
      <c r="H25">
        <v>1.5859332060361098E-2</v>
      </c>
      <c r="I25" s="23">
        <v>2.11919752266676E-2</v>
      </c>
      <c r="J25">
        <v>2.5</v>
      </c>
      <c r="K25">
        <v>2.1488013630484798E-3</v>
      </c>
      <c r="L25">
        <v>2.03841155108946E-3</v>
      </c>
      <c r="M25">
        <v>3.1142648400133499E-3</v>
      </c>
      <c r="N25">
        <v>3.2601677338169699E-3</v>
      </c>
      <c r="O25">
        <v>2.21388720297737E-3</v>
      </c>
      <c r="P25">
        <v>3.1142648400133499E-3</v>
      </c>
      <c r="Q25">
        <v>3.1142648400133499E-3</v>
      </c>
      <c r="R25" s="28">
        <v>1.08299633961374E-2</v>
      </c>
      <c r="S25">
        <v>2.5</v>
      </c>
      <c r="T25">
        <v>-2.0599725840215002</v>
      </c>
      <c r="U25">
        <v>0.54675929176201399</v>
      </c>
      <c r="V25">
        <v>0.35696527433168801</v>
      </c>
      <c r="W25">
        <v>0.37319463488655902</v>
      </c>
      <c r="X25">
        <v>0.47040463298024698</v>
      </c>
      <c r="Y25">
        <v>0.35696527433168801</v>
      </c>
      <c r="Z25">
        <v>0.35696527433168801</v>
      </c>
      <c r="AA25" s="33">
        <v>0.18230981573359401</v>
      </c>
      <c r="AB25">
        <v>2.5</v>
      </c>
      <c r="AC25">
        <v>0.368380381504329</v>
      </c>
      <c r="AD25">
        <v>0.29131915595463198</v>
      </c>
      <c r="AE25">
        <v>2.8461794890809099E-2</v>
      </c>
      <c r="AF25">
        <v>4.1659370813131397E-2</v>
      </c>
      <c r="AG25">
        <v>0.15559252233037599</v>
      </c>
      <c r="AH25">
        <v>2.8461794890809099E-2</v>
      </c>
      <c r="AI25">
        <v>2.8461794890809099E-2</v>
      </c>
      <c r="AJ25" s="38">
        <v>-4.0064893558933598E-2</v>
      </c>
      <c r="AN25">
        <v>2.5</v>
      </c>
      <c r="AO25">
        <f t="shared" si="0"/>
        <v>0.69670935501319975</v>
      </c>
      <c r="AP25">
        <f t="shared" si="10"/>
        <v>0.70894967799014341</v>
      </c>
      <c r="AQ25">
        <f t="shared" si="11"/>
        <v>0.7017743656870169</v>
      </c>
      <c r="AR25">
        <f t="shared" si="12"/>
        <v>0.69896851201316612</v>
      </c>
      <c r="AS25">
        <f t="shared" si="13"/>
        <v>0.69964798450133192</v>
      </c>
      <c r="AT25">
        <f t="shared" si="14"/>
        <v>0.7017743656870169</v>
      </c>
      <c r="AU25">
        <f t="shared" si="15"/>
        <v>0.7017743656870169</v>
      </c>
      <c r="AV25" s="6">
        <f t="shared" si="15"/>
        <v>0.6014970724956199</v>
      </c>
      <c r="AW25">
        <v>2.5</v>
      </c>
      <c r="AX25">
        <f t="shared" si="2"/>
        <v>0.77304736808851571</v>
      </c>
      <c r="AY25">
        <f t="shared" si="16"/>
        <v>0.78470654645238769</v>
      </c>
      <c r="AZ25">
        <f t="shared" si="17"/>
        <v>0.67107680865032981</v>
      </c>
      <c r="BA25">
        <f t="shared" si="18"/>
        <v>0.65566680085637707</v>
      </c>
      <c r="BB25">
        <f t="shared" si="19"/>
        <v>0.7661731158071996</v>
      </c>
      <c r="BC25">
        <f>1-(P25/$AL$4)</f>
        <v>0.67107680865032981</v>
      </c>
      <c r="BD25">
        <f>1-(Q25/$AL$4)</f>
        <v>0.67107680865032981</v>
      </c>
      <c r="BE25" s="6">
        <f>1-(R25/$AL$4)</f>
        <v>-0.14384174290146645</v>
      </c>
      <c r="BJ25" s="17">
        <v>2.5</v>
      </c>
      <c r="BK25" s="18">
        <f t="shared" si="4"/>
        <v>-5.5458869853863932E-2</v>
      </c>
      <c r="BL25" s="19">
        <f t="shared" si="20"/>
        <v>0.58293366803979429</v>
      </c>
      <c r="BM25" s="19">
        <f t="shared" si="21"/>
        <v>0.43956956088996091</v>
      </c>
      <c r="BN25" s="19">
        <f t="shared" si="22"/>
        <v>0.44237232964230844</v>
      </c>
      <c r="BO25" s="19">
        <f t="shared" si="23"/>
        <v>0.52295456390478856</v>
      </c>
      <c r="BP25" s="19">
        <f t="shared" si="24"/>
        <v>0.43956956088996091</v>
      </c>
      <c r="BQ25" s="19">
        <f t="shared" si="25"/>
        <v>0.43956956088996091</v>
      </c>
      <c r="BR25" s="20">
        <f t="shared" si="25"/>
        <v>0.14997506294220347</v>
      </c>
      <c r="BT25" t="s">
        <v>3</v>
      </c>
      <c r="BU25" s="1">
        <f t="shared" si="6"/>
        <v>0.58293366803979429</v>
      </c>
    </row>
    <row r="26" spans="1:73" ht="15" thickBot="1">
      <c r="A26" t="s">
        <v>11</v>
      </c>
      <c r="J26" t="s">
        <v>11</v>
      </c>
      <c r="S26" t="s">
        <v>11</v>
      </c>
      <c r="AB26" t="s">
        <v>11</v>
      </c>
      <c r="AN26" t="s">
        <v>11</v>
      </c>
      <c r="AW26" t="s">
        <v>11</v>
      </c>
      <c r="BJ26" t="s">
        <v>11</v>
      </c>
      <c r="BU26" s="1"/>
    </row>
    <row r="27" spans="1:73" ht="15" thickBot="1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J27" t="s">
        <v>1</v>
      </c>
      <c r="K27" t="s">
        <v>2</v>
      </c>
      <c r="L27" t="s">
        <v>3</v>
      </c>
      <c r="M27" t="s">
        <v>4</v>
      </c>
      <c r="N27" t="s">
        <v>5</v>
      </c>
      <c r="O27" t="s">
        <v>6</v>
      </c>
      <c r="P27" t="s">
        <v>7</v>
      </c>
      <c r="Q27" t="s">
        <v>8</v>
      </c>
      <c r="S27" t="s">
        <v>1</v>
      </c>
      <c r="T27" t="s">
        <v>2</v>
      </c>
      <c r="U27" t="s">
        <v>3</v>
      </c>
      <c r="V27" t="s">
        <v>4</v>
      </c>
      <c r="W27" t="s">
        <v>5</v>
      </c>
      <c r="X27" t="s">
        <v>6</v>
      </c>
      <c r="Y27" t="s">
        <v>7</v>
      </c>
      <c r="Z27" t="s">
        <v>8</v>
      </c>
      <c r="AB27" t="s">
        <v>1</v>
      </c>
      <c r="AC27" t="s">
        <v>2</v>
      </c>
      <c r="AD27" t="s">
        <v>3</v>
      </c>
      <c r="AE27" t="s">
        <v>4</v>
      </c>
      <c r="AF27" t="s">
        <v>5</v>
      </c>
      <c r="AG27" t="s">
        <v>6</v>
      </c>
      <c r="AH27" t="s">
        <v>7</v>
      </c>
      <c r="AI27" t="s">
        <v>8</v>
      </c>
      <c r="AN27" t="s">
        <v>1</v>
      </c>
      <c r="AO27" t="s">
        <v>2</v>
      </c>
      <c r="AP27" t="s">
        <v>3</v>
      </c>
      <c r="AQ27" t="s">
        <v>4</v>
      </c>
      <c r="AR27" t="s">
        <v>5</v>
      </c>
      <c r="AS27" t="s">
        <v>6</v>
      </c>
      <c r="AT27" t="s">
        <v>7</v>
      </c>
      <c r="AU27" t="s">
        <v>8</v>
      </c>
      <c r="AW27" t="s">
        <v>1</v>
      </c>
      <c r="AX27" t="s">
        <v>2</v>
      </c>
      <c r="AY27" t="s">
        <v>3</v>
      </c>
      <c r="AZ27" t="s">
        <v>4</v>
      </c>
      <c r="BA27" t="s">
        <v>5</v>
      </c>
      <c r="BB27" t="s">
        <v>6</v>
      </c>
      <c r="BC27" t="s">
        <v>7</v>
      </c>
      <c r="BD27" t="s">
        <v>8</v>
      </c>
      <c r="BJ27" s="2" t="s">
        <v>1</v>
      </c>
      <c r="BK27" s="7" t="s">
        <v>2</v>
      </c>
      <c r="BL27" s="8" t="s">
        <v>3</v>
      </c>
      <c r="BM27" s="8" t="s">
        <v>4</v>
      </c>
      <c r="BN27" s="8" t="s">
        <v>5</v>
      </c>
      <c r="BO27" s="8" t="s">
        <v>6</v>
      </c>
      <c r="BP27" s="8" t="s">
        <v>7</v>
      </c>
      <c r="BQ27" s="8" t="s">
        <v>8</v>
      </c>
      <c r="BR27" s="9"/>
      <c r="BU27" s="1"/>
    </row>
    <row r="28" spans="1:73">
      <c r="A28">
        <v>0.2</v>
      </c>
      <c r="B28">
        <v>1.14712449591561E-3</v>
      </c>
      <c r="C28">
        <v>1.56852790128563E-3</v>
      </c>
      <c r="D28">
        <v>1.6291617416797099E-3</v>
      </c>
      <c r="E28">
        <v>1.62919215777727E-3</v>
      </c>
      <c r="F28">
        <v>2.6805984659826901E-3</v>
      </c>
      <c r="G28">
        <v>5.37588706399705E-3</v>
      </c>
      <c r="H28">
        <v>5.45699952919022E-3</v>
      </c>
      <c r="I28" s="24">
        <v>9.9858544282109604E-3</v>
      </c>
      <c r="J28">
        <v>0.2</v>
      </c>
      <c r="K28">
        <v>2.1784786130352001E-5</v>
      </c>
      <c r="L28">
        <v>4.66553958570228E-5</v>
      </c>
      <c r="M28">
        <v>4.5896991704694502E-5</v>
      </c>
      <c r="N28">
        <v>4.5897058333604797E-5</v>
      </c>
      <c r="O28">
        <v>9.2158813958894597E-5</v>
      </c>
      <c r="P28">
        <v>3.4166765499549998E-4</v>
      </c>
      <c r="Q28">
        <v>3.5433541834813202E-4</v>
      </c>
      <c r="R28" s="29">
        <v>1.8372554749073199E-3</v>
      </c>
      <c r="S28">
        <v>0.2</v>
      </c>
      <c r="T28">
        <v>0.98796059228619704</v>
      </c>
      <c r="U28">
        <v>0.983100522731157</v>
      </c>
      <c r="V28">
        <v>0.98277650324812205</v>
      </c>
      <c r="W28">
        <v>0.98277642316018099</v>
      </c>
      <c r="X28">
        <v>0.972842552777473</v>
      </c>
      <c r="Y28">
        <v>0.94810035366622103</v>
      </c>
      <c r="Z28">
        <v>0.94666229385253897</v>
      </c>
      <c r="AA28" s="34">
        <v>0.86700414364038503</v>
      </c>
      <c r="AB28">
        <v>0.2</v>
      </c>
      <c r="AC28">
        <v>0.99826816010064101</v>
      </c>
      <c r="AD28">
        <v>0.99629437569364598</v>
      </c>
      <c r="AE28">
        <v>0.99626258966584802</v>
      </c>
      <c r="AF28">
        <v>0.996262241263279</v>
      </c>
      <c r="AG28">
        <v>0.992315423083311</v>
      </c>
      <c r="AH28">
        <v>0.97262650851183796</v>
      </c>
      <c r="AI28">
        <v>0.96974589141108603</v>
      </c>
      <c r="AJ28" s="39">
        <v>0.89128982548830205</v>
      </c>
      <c r="AN28">
        <v>0.2</v>
      </c>
      <c r="AO28">
        <f t="shared" si="0"/>
        <v>0.97842898243580856</v>
      </c>
      <c r="AP28">
        <f t="shared" si="10"/>
        <v>0.97050473333188614</v>
      </c>
      <c r="AQ28">
        <f t="shared" si="11"/>
        <v>0.96936454877407907</v>
      </c>
      <c r="AR28">
        <f t="shared" si="12"/>
        <v>0.96936397681682684</v>
      </c>
      <c r="AS28">
        <f t="shared" si="13"/>
        <v>0.94959288481926807</v>
      </c>
      <c r="AT28">
        <f t="shared" si="14"/>
        <v>0.89890953013950725</v>
      </c>
      <c r="AU28">
        <f t="shared" si="15"/>
        <v>0.89738425679944123</v>
      </c>
      <c r="AV28" s="6">
        <f t="shared" si="15"/>
        <v>0.81222174050736673</v>
      </c>
      <c r="AW28">
        <v>0.2</v>
      </c>
      <c r="AX28">
        <f t="shared" si="2"/>
        <v>0.99769912908985781</v>
      </c>
      <c r="AY28">
        <f t="shared" si="16"/>
        <v>0.99507233890265145</v>
      </c>
      <c r="AZ28">
        <f t="shared" si="17"/>
        <v>0.9951524402193126</v>
      </c>
      <c r="BA28">
        <f t="shared" si="18"/>
        <v>0.99515243318208402</v>
      </c>
      <c r="BB28">
        <f t="shared" si="19"/>
        <v>0.99026634767573907</v>
      </c>
      <c r="BC28">
        <f>1-(P28/$AL$4)</f>
        <v>0.9639136614143593</v>
      </c>
      <c r="BD28" s="6">
        <f t="shared" ref="BD28:BD32" si="26">1-(Q28/$AL$4)</f>
        <v>0.9625757144627467</v>
      </c>
      <c r="BE28" s="6">
        <f t="shared" ref="BE28:BE32" si="27">1-(R28/$AL$4)</f>
        <v>0.80595229847934857</v>
      </c>
      <c r="BJ28" s="10">
        <v>0.2</v>
      </c>
      <c r="BK28" s="11">
        <f t="shared" si="4"/>
        <v>0.9905892159781261</v>
      </c>
      <c r="BL28" s="12">
        <f t="shared" si="20"/>
        <v>0.98624299266483506</v>
      </c>
      <c r="BM28" s="21">
        <f t="shared" si="21"/>
        <v>0.98588902047684046</v>
      </c>
      <c r="BN28" s="12">
        <f t="shared" si="22"/>
        <v>0.98588876860559271</v>
      </c>
      <c r="BO28" s="12">
        <f t="shared" si="23"/>
        <v>0.97625430208894781</v>
      </c>
      <c r="BP28" s="12">
        <f t="shared" si="24"/>
        <v>0.94588751343298139</v>
      </c>
      <c r="BQ28" s="12">
        <f t="shared" si="25"/>
        <v>0.94409203913145323</v>
      </c>
      <c r="BR28" s="13">
        <f t="shared" si="25"/>
        <v>0.84411700202885065</v>
      </c>
      <c r="BT28" t="s">
        <v>2</v>
      </c>
      <c r="BU28" s="1">
        <f t="shared" si="6"/>
        <v>0.9905892159781261</v>
      </c>
    </row>
    <row r="29" spans="1:73">
      <c r="A29">
        <v>0.5</v>
      </c>
      <c r="B29">
        <v>7.5069852018884997E-3</v>
      </c>
      <c r="C29">
        <v>8.06435674018742E-3</v>
      </c>
      <c r="D29">
        <v>1.1119021543136799E-2</v>
      </c>
      <c r="E29">
        <v>1.1115426540604399E-2</v>
      </c>
      <c r="F29">
        <v>9.4601662513705501E-3</v>
      </c>
      <c r="G29">
        <v>1.1119021543136799E-2</v>
      </c>
      <c r="H29">
        <v>1.1119021543136799E-2</v>
      </c>
      <c r="I29" s="24">
        <v>1.9314158157066798E-2</v>
      </c>
      <c r="J29">
        <v>0.5</v>
      </c>
      <c r="K29">
        <v>5.9704971460785704E-4</v>
      </c>
      <c r="L29">
        <v>6.6594256923402102E-4</v>
      </c>
      <c r="M29">
        <v>1.14426209691035E-3</v>
      </c>
      <c r="N29">
        <v>1.1436710788451799E-3</v>
      </c>
      <c r="O29">
        <v>7.9482125652015497E-4</v>
      </c>
      <c r="P29">
        <v>1.14426209691035E-3</v>
      </c>
      <c r="Q29">
        <v>1.14426209691035E-3</v>
      </c>
      <c r="R29" s="29">
        <v>6.0851581882184402E-3</v>
      </c>
      <c r="S29">
        <v>0.5</v>
      </c>
      <c r="T29">
        <v>0.922324711190185</v>
      </c>
      <c r="U29">
        <v>0.907811044887611</v>
      </c>
      <c r="V29">
        <v>0.884814903596157</v>
      </c>
      <c r="W29">
        <v>0.88480326145534005</v>
      </c>
      <c r="X29">
        <v>0.88832189617594803</v>
      </c>
      <c r="Y29">
        <v>0.884814903596157</v>
      </c>
      <c r="Z29">
        <v>0.884814903596157</v>
      </c>
      <c r="AA29" s="34">
        <v>0.69907448204105804</v>
      </c>
      <c r="AB29">
        <v>0.5</v>
      </c>
      <c r="AC29">
        <v>0.946938191600315</v>
      </c>
      <c r="AD29">
        <v>0.93411221714466197</v>
      </c>
      <c r="AE29">
        <v>0.89979665470200498</v>
      </c>
      <c r="AF29">
        <v>0.89985386479824303</v>
      </c>
      <c r="AG29">
        <v>0.91872008478687694</v>
      </c>
      <c r="AH29">
        <v>0.89979665470200498</v>
      </c>
      <c r="AI29">
        <v>0.89979665470200498</v>
      </c>
      <c r="AJ29" s="39">
        <v>0.60621218111585295</v>
      </c>
      <c r="AN29">
        <v>0.5</v>
      </c>
      <c r="AO29">
        <f t="shared" si="0"/>
        <v>0.85883545315209187</v>
      </c>
      <c r="AP29">
        <f t="shared" si="10"/>
        <v>0.84835440136980056</v>
      </c>
      <c r="AQ29">
        <f t="shared" si="11"/>
        <v>0.79091318347954465</v>
      </c>
      <c r="AR29">
        <f t="shared" si="12"/>
        <v>0.79098078543822115</v>
      </c>
      <c r="AS29">
        <f t="shared" si="13"/>
        <v>0.82210700486732724</v>
      </c>
      <c r="AT29">
        <f t="shared" si="14"/>
        <v>0.79091318347954465</v>
      </c>
      <c r="AU29">
        <f t="shared" si="15"/>
        <v>0.79091318347954465</v>
      </c>
      <c r="AV29" s="6">
        <f t="shared" si="15"/>
        <v>0.63680834440631706</v>
      </c>
      <c r="AW29">
        <v>0.5</v>
      </c>
      <c r="AX29">
        <f t="shared" si="2"/>
        <v>0.93694065610605415</v>
      </c>
      <c r="AY29">
        <f t="shared" si="16"/>
        <v>0.92966431360824342</v>
      </c>
      <c r="AZ29">
        <f t="shared" si="17"/>
        <v>0.87914504385741177</v>
      </c>
      <c r="BA29">
        <f t="shared" si="18"/>
        <v>0.87920746614906897</v>
      </c>
      <c r="BB29">
        <f t="shared" si="19"/>
        <v>0.91605237265368744</v>
      </c>
      <c r="BC29">
        <f>1-(P29/$AL$4)</f>
        <v>0.87914504385741177</v>
      </c>
      <c r="BD29" s="6">
        <f t="shared" si="26"/>
        <v>0.87914504385741177</v>
      </c>
      <c r="BE29" s="6">
        <f t="shared" si="27"/>
        <v>0.35729626285482952</v>
      </c>
      <c r="BJ29" s="14">
        <v>0.5</v>
      </c>
      <c r="BK29" s="15">
        <f t="shared" si="4"/>
        <v>0.91625975301216156</v>
      </c>
      <c r="BL29" s="16">
        <f t="shared" si="20"/>
        <v>0.90498549425257924</v>
      </c>
      <c r="BM29" s="16">
        <f t="shared" si="21"/>
        <v>0.86366744640877957</v>
      </c>
      <c r="BN29" s="16">
        <f t="shared" si="22"/>
        <v>0.86371134446021824</v>
      </c>
      <c r="BO29" s="16">
        <f t="shared" si="23"/>
        <v>0.88630033962096</v>
      </c>
      <c r="BP29" s="16">
        <f t="shared" si="24"/>
        <v>0.86366744640877957</v>
      </c>
      <c r="BQ29" s="16">
        <f t="shared" si="25"/>
        <v>0.86366744640877957</v>
      </c>
      <c r="BR29" s="13">
        <f t="shared" si="25"/>
        <v>0.57484781760451442</v>
      </c>
      <c r="BT29" t="s">
        <v>2</v>
      </c>
      <c r="BU29" s="1">
        <f t="shared" si="6"/>
        <v>0.91625975301216156</v>
      </c>
    </row>
    <row r="30" spans="1:73">
      <c r="A30">
        <v>1</v>
      </c>
      <c r="B30">
        <v>1.60002480106579E-2</v>
      </c>
      <c r="C30">
        <v>1.5970221870161599E-2</v>
      </c>
      <c r="D30">
        <v>1.8391436938154801E-2</v>
      </c>
      <c r="E30">
        <v>1.83835609665426E-2</v>
      </c>
      <c r="F30">
        <v>1.7536495390861599E-2</v>
      </c>
      <c r="G30">
        <v>1.9562098580601501E-2</v>
      </c>
      <c r="H30">
        <v>1.96588404714193E-2</v>
      </c>
      <c r="I30" s="24">
        <v>3.2046399426809098E-2</v>
      </c>
      <c r="J30">
        <v>1</v>
      </c>
      <c r="K30">
        <v>2.1704550822741501E-3</v>
      </c>
      <c r="L30">
        <v>2.1206227631152702E-3</v>
      </c>
      <c r="M30">
        <v>2.8615289624873202E-3</v>
      </c>
      <c r="N30">
        <v>2.85972453531599E-3</v>
      </c>
      <c r="O30">
        <v>2.3209384338913099E-3</v>
      </c>
      <c r="P30">
        <v>3.2628134504900201E-3</v>
      </c>
      <c r="Q30">
        <v>3.3444288285840499E-3</v>
      </c>
      <c r="R30" s="29">
        <v>2.2900708326843398E-2</v>
      </c>
      <c r="S30">
        <v>1</v>
      </c>
      <c r="T30">
        <v>0.82739206751161398</v>
      </c>
      <c r="U30">
        <v>0.80119797137508397</v>
      </c>
      <c r="V30">
        <v>0.78423225721528</v>
      </c>
      <c r="W30">
        <v>0.784233034741466</v>
      </c>
      <c r="X30">
        <v>0.77108313438051601</v>
      </c>
      <c r="Y30">
        <v>0.76900207887800098</v>
      </c>
      <c r="Z30">
        <v>0.76319500213972902</v>
      </c>
      <c r="AA30" s="34">
        <v>0.392411918818728</v>
      </c>
      <c r="AB30">
        <v>1</v>
      </c>
      <c r="AC30">
        <v>0.78953396619018401</v>
      </c>
      <c r="AD30">
        <v>0.75836986602095602</v>
      </c>
      <c r="AE30">
        <v>0.72605390885434795</v>
      </c>
      <c r="AF30">
        <v>0.72623791149037198</v>
      </c>
      <c r="AG30">
        <v>0.72649986279077505</v>
      </c>
      <c r="AH30">
        <v>0.69647536059480097</v>
      </c>
      <c r="AI30">
        <v>0.67481694885032695</v>
      </c>
      <c r="AJ30" s="39">
        <v>0.143776189776019</v>
      </c>
      <c r="AN30">
        <v>1</v>
      </c>
      <c r="AO30">
        <f t="shared" si="0"/>
        <v>0.69912452214366128</v>
      </c>
      <c r="AP30">
        <f t="shared" si="10"/>
        <v>0.69968914647723346</v>
      </c>
      <c r="AQ30">
        <f t="shared" si="11"/>
        <v>0.65415958717976674</v>
      </c>
      <c r="AR30">
        <f t="shared" si="12"/>
        <v>0.65430769030421987</v>
      </c>
      <c r="AS30">
        <f t="shared" si="13"/>
        <v>0.67023627214175829</v>
      </c>
      <c r="AT30">
        <f t="shared" si="14"/>
        <v>0.63214596708808957</v>
      </c>
      <c r="AU30">
        <f t="shared" si="15"/>
        <v>0.63032679137224168</v>
      </c>
      <c r="AV30" s="6">
        <f t="shared" si="15"/>
        <v>0.39738585710085961</v>
      </c>
      <c r="AW30">
        <v>1</v>
      </c>
      <c r="AX30">
        <f t="shared" si="2"/>
        <v>0.77076034023501216</v>
      </c>
      <c r="AY30">
        <f t="shared" si="16"/>
        <v>0.77602354240057492</v>
      </c>
      <c r="AZ30">
        <f t="shared" si="17"/>
        <v>0.69777032884691803</v>
      </c>
      <c r="BA30">
        <f t="shared" si="18"/>
        <v>0.6979609092805813</v>
      </c>
      <c r="BB30">
        <f t="shared" si="19"/>
        <v>0.75486655251890433</v>
      </c>
      <c r="BC30">
        <f>1-(P30/$AL$4)</f>
        <v>0.65538736490079441</v>
      </c>
      <c r="BD30" s="6">
        <f t="shared" si="26"/>
        <v>0.64676729178402526</v>
      </c>
      <c r="BE30" s="6">
        <f t="shared" si="27"/>
        <v>-1.4187326556982889</v>
      </c>
      <c r="BJ30" s="14">
        <v>1</v>
      </c>
      <c r="BK30" s="15">
        <f t="shared" si="4"/>
        <v>0.77170272402011786</v>
      </c>
      <c r="BL30" s="16">
        <f t="shared" si="20"/>
        <v>0.75882013156846206</v>
      </c>
      <c r="BM30" s="16">
        <f t="shared" si="21"/>
        <v>0.71555402052407824</v>
      </c>
      <c r="BN30" s="16">
        <f t="shared" si="22"/>
        <v>0.71568488645415973</v>
      </c>
      <c r="BO30" s="16">
        <f t="shared" si="23"/>
        <v>0.73067145545798851</v>
      </c>
      <c r="BP30" s="16">
        <f t="shared" si="24"/>
        <v>0.68825269286542146</v>
      </c>
      <c r="BQ30" s="16">
        <f t="shared" si="25"/>
        <v>0.67877650853658078</v>
      </c>
      <c r="BR30" s="13">
        <f t="shared" si="25"/>
        <v>-0.12128967250067058</v>
      </c>
      <c r="BT30" t="s">
        <v>2</v>
      </c>
      <c r="BU30" s="1">
        <f t="shared" si="6"/>
        <v>0.77170272402011786</v>
      </c>
    </row>
    <row r="31" spans="1:73">
      <c r="A31">
        <v>1.5</v>
      </c>
      <c r="B31">
        <v>2.1572670897868799E-2</v>
      </c>
      <c r="C31">
        <v>2.1187629517487601E-2</v>
      </c>
      <c r="D31">
        <v>2.595533615742E-2</v>
      </c>
      <c r="E31">
        <v>2.5930332604536799E-2</v>
      </c>
      <c r="F31">
        <v>2.3168789506890199E-2</v>
      </c>
      <c r="G31">
        <v>2.595533615742E-2</v>
      </c>
      <c r="H31">
        <v>2.595533615742E-2</v>
      </c>
      <c r="I31" s="24">
        <v>5.8775712594623199E-2</v>
      </c>
      <c r="J31">
        <v>1.5</v>
      </c>
      <c r="K31">
        <v>3.6978357206630501E-3</v>
      </c>
      <c r="L31">
        <v>3.4447101820581699E-3</v>
      </c>
      <c r="M31">
        <v>5.5403465769335303E-3</v>
      </c>
      <c r="N31">
        <v>5.5320856791473598E-3</v>
      </c>
      <c r="O31">
        <v>3.7403713431844901E-3</v>
      </c>
      <c r="P31">
        <v>5.5403465769335303E-3</v>
      </c>
      <c r="Q31">
        <v>5.5403465769335303E-3</v>
      </c>
      <c r="R31" s="29">
        <v>7.2270038721535201E-2</v>
      </c>
      <c r="S31">
        <v>1.5</v>
      </c>
      <c r="T31">
        <v>0.75501955079383298</v>
      </c>
      <c r="U31">
        <v>0.71461299666161804</v>
      </c>
      <c r="V31">
        <v>0.67352455865673899</v>
      </c>
      <c r="W31">
        <v>0.67350582450806595</v>
      </c>
      <c r="X31">
        <v>0.67165875068901904</v>
      </c>
      <c r="Y31">
        <v>0.67352455865673899</v>
      </c>
      <c r="Z31">
        <v>0.67352455865673899</v>
      </c>
      <c r="AA31" s="34">
        <v>5.3027170337372698E-2</v>
      </c>
      <c r="AB31">
        <v>1.5</v>
      </c>
      <c r="AC31">
        <v>0.64072128015216601</v>
      </c>
      <c r="AD31">
        <v>0.58784017021854895</v>
      </c>
      <c r="AE31">
        <v>0.49316368574063701</v>
      </c>
      <c r="AF31">
        <v>0.49401833209210499</v>
      </c>
      <c r="AG31">
        <v>0.54422650081354795</v>
      </c>
      <c r="AH31">
        <v>0.49316368574063701</v>
      </c>
      <c r="AI31">
        <v>0.49316368574063701</v>
      </c>
      <c r="AJ31" s="39">
        <v>-0.13065841462882799</v>
      </c>
      <c r="AN31">
        <v>1.5</v>
      </c>
      <c r="AO31">
        <f t="shared" si="0"/>
        <v>0.59433830896181705</v>
      </c>
      <c r="AP31">
        <f t="shared" si="10"/>
        <v>0.60157879106181256</v>
      </c>
      <c r="AQ31">
        <f t="shared" si="11"/>
        <v>0.51192480491028691</v>
      </c>
      <c r="AR31">
        <f t="shared" si="12"/>
        <v>0.51239498236733805</v>
      </c>
      <c r="AS31">
        <f t="shared" si="13"/>
        <v>0.56432421487497408</v>
      </c>
      <c r="AT31">
        <f t="shared" si="14"/>
        <v>0.51192480491028691</v>
      </c>
      <c r="AU31">
        <f t="shared" si="15"/>
        <v>0.51192480491028691</v>
      </c>
      <c r="AV31" s="6">
        <f t="shared" si="15"/>
        <v>-0.10524353131742115</v>
      </c>
      <c r="AW31">
        <v>1.5</v>
      </c>
      <c r="AX31">
        <f t="shared" si="2"/>
        <v>0.60944107556309046</v>
      </c>
      <c r="AY31">
        <f t="shared" si="16"/>
        <v>0.6361757510795325</v>
      </c>
      <c r="AZ31">
        <f t="shared" si="17"/>
        <v>0.41483830987849246</v>
      </c>
      <c r="BA31">
        <f t="shared" si="18"/>
        <v>0.41571081141668187</v>
      </c>
      <c r="BB31">
        <f t="shared" si="19"/>
        <v>0.60494853770117341</v>
      </c>
      <c r="BC31">
        <f>1-(P31/$AL$4)</f>
        <v>0.41483830987849246</v>
      </c>
      <c r="BD31" s="6">
        <f t="shared" si="26"/>
        <v>0.41483830987849246</v>
      </c>
      <c r="BE31" s="6">
        <f t="shared" si="27"/>
        <v>-6.6330347598663764</v>
      </c>
      <c r="BJ31" s="14">
        <v>1.5</v>
      </c>
      <c r="BK31" s="15">
        <f t="shared" si="4"/>
        <v>0.64988005386772663</v>
      </c>
      <c r="BL31" s="16">
        <f t="shared" si="20"/>
        <v>0.63505192725537796</v>
      </c>
      <c r="BM31" s="16">
        <f t="shared" si="21"/>
        <v>0.52336283979653886</v>
      </c>
      <c r="BN31" s="16">
        <f t="shared" si="22"/>
        <v>0.52390748759604766</v>
      </c>
      <c r="BO31" s="16">
        <f t="shared" si="23"/>
        <v>0.59628950101967859</v>
      </c>
      <c r="BP31" s="16">
        <f t="shared" si="24"/>
        <v>0.52336283979653886</v>
      </c>
      <c r="BQ31" s="16">
        <f t="shared" si="25"/>
        <v>0.52336283979653886</v>
      </c>
      <c r="BR31" s="13">
        <f t="shared" si="25"/>
        <v>-1.703977383868813</v>
      </c>
      <c r="BT31" t="s">
        <v>2</v>
      </c>
      <c r="BU31" s="1">
        <f t="shared" si="6"/>
        <v>0.64988005386772663</v>
      </c>
    </row>
    <row r="32" spans="1:73">
      <c r="A32">
        <v>2</v>
      </c>
      <c r="B32">
        <v>2.6337031410177299E-2</v>
      </c>
      <c r="C32">
        <v>2.5726254848894899E-2</v>
      </c>
      <c r="D32">
        <v>2.9173979589064598E-2</v>
      </c>
      <c r="E32">
        <v>2.9150888198335698E-2</v>
      </c>
      <c r="F32">
        <v>2.7186644325617099E-2</v>
      </c>
      <c r="G32">
        <v>2.9955039531329799E-2</v>
      </c>
      <c r="H32">
        <v>2.9824570770490898E-2</v>
      </c>
      <c r="I32" s="24">
        <v>4.7270416902900202E-2</v>
      </c>
      <c r="J32">
        <v>2</v>
      </c>
      <c r="K32">
        <v>5.5857731168244803E-3</v>
      </c>
      <c r="L32">
        <v>5.3479187271906897E-3</v>
      </c>
      <c r="M32">
        <v>7.04853217863813E-3</v>
      </c>
      <c r="N32">
        <v>7.0468829003226003E-3</v>
      </c>
      <c r="O32">
        <v>4.9202509880765903E-3</v>
      </c>
      <c r="P32">
        <v>7.5361415180845602E-3</v>
      </c>
      <c r="Q32">
        <v>7.5069426397324701E-3</v>
      </c>
      <c r="R32" s="29">
        <v>5.7196123454097997E-2</v>
      </c>
      <c r="S32">
        <v>2</v>
      </c>
      <c r="T32">
        <v>0.67072854606962695</v>
      </c>
      <c r="U32">
        <v>0.63313648739082296</v>
      </c>
      <c r="V32">
        <v>0.59823563457292805</v>
      </c>
      <c r="W32">
        <v>0.598756290949225</v>
      </c>
      <c r="X32">
        <v>0.57052619519080605</v>
      </c>
      <c r="Y32">
        <v>0.58898639493971405</v>
      </c>
      <c r="Z32">
        <v>0.58750145130689402</v>
      </c>
      <c r="AA32" s="34">
        <v>3.5015774586461497E-2</v>
      </c>
      <c r="AB32">
        <v>2</v>
      </c>
      <c r="AC32">
        <v>0.40853449452577301</v>
      </c>
      <c r="AD32">
        <v>0.32797950215278598</v>
      </c>
      <c r="AE32">
        <v>0.335819884530483</v>
      </c>
      <c r="AF32">
        <v>0.33774049393785199</v>
      </c>
      <c r="AG32">
        <v>0.316144254508616</v>
      </c>
      <c r="AH32">
        <v>0.31957714372559198</v>
      </c>
      <c r="AI32">
        <v>0.30355946441001902</v>
      </c>
      <c r="AJ32" s="39">
        <v>-2.8777102270957301E-2</v>
      </c>
      <c r="AN32">
        <v>2</v>
      </c>
      <c r="AO32">
        <f t="shared" si="0"/>
        <v>0.50474724481919642</v>
      </c>
      <c r="AP32">
        <f t="shared" si="10"/>
        <v>0.51623254739806168</v>
      </c>
      <c r="AQ32">
        <f t="shared" si="11"/>
        <v>0.45140006305002522</v>
      </c>
      <c r="AR32">
        <f t="shared" si="12"/>
        <v>0.45183428339556597</v>
      </c>
      <c r="AS32">
        <f t="shared" si="13"/>
        <v>0.48877076171996003</v>
      </c>
      <c r="AT32">
        <f t="shared" si="14"/>
        <v>0.43671267925403967</v>
      </c>
      <c r="AU32">
        <f t="shared" si="15"/>
        <v>0.43916606939752878</v>
      </c>
      <c r="AV32" s="6">
        <f t="shared" si="15"/>
        <v>0.11110694880137384</v>
      </c>
      <c r="AW32">
        <v>2</v>
      </c>
      <c r="AX32">
        <f t="shared" si="2"/>
        <v>0.41004043839340698</v>
      </c>
      <c r="AY32">
        <f t="shared" si="16"/>
        <v>0.4351622019344098</v>
      </c>
      <c r="AZ32">
        <f t="shared" si="17"/>
        <v>0.25554639132150392</v>
      </c>
      <c r="BA32">
        <f t="shared" si="18"/>
        <v>0.25572058520508045</v>
      </c>
      <c r="BB32">
        <f t="shared" si="19"/>
        <v>0.48033171859828638</v>
      </c>
      <c r="BC32">
        <f>1-(P32/$AL$4)</f>
        <v>0.20404594794176334</v>
      </c>
      <c r="BD32" s="6">
        <f t="shared" si="26"/>
        <v>0.20712988227130458</v>
      </c>
      <c r="BE32" s="6">
        <f t="shared" si="27"/>
        <v>-5.0409542623455845</v>
      </c>
      <c r="BJ32" s="14">
        <v>2</v>
      </c>
      <c r="BK32" s="15">
        <f t="shared" si="4"/>
        <v>0.4985126809520008</v>
      </c>
      <c r="BL32" s="16">
        <f t="shared" si="20"/>
        <v>0.47812768471902012</v>
      </c>
      <c r="BM32" s="16">
        <f t="shared" si="21"/>
        <v>0.41025049336873504</v>
      </c>
      <c r="BN32" s="16">
        <f t="shared" si="22"/>
        <v>0.41101291337193091</v>
      </c>
      <c r="BO32" s="16">
        <f t="shared" si="23"/>
        <v>0.4639432325044171</v>
      </c>
      <c r="BP32" s="16">
        <f t="shared" si="24"/>
        <v>0.38733054146527723</v>
      </c>
      <c r="BQ32" s="16">
        <f t="shared" si="25"/>
        <v>0.38433921684643663</v>
      </c>
      <c r="BR32" s="13">
        <f t="shared" si="25"/>
        <v>-1.2309021603071766</v>
      </c>
      <c r="BT32" t="s">
        <v>2</v>
      </c>
      <c r="BU32" s="1">
        <f t="shared" si="6"/>
        <v>0.4985126809520008</v>
      </c>
    </row>
    <row r="33" spans="1:73" ht="15" thickBot="1">
      <c r="A33">
        <v>2.5</v>
      </c>
      <c r="B33">
        <v>2.7039117170895001E-2</v>
      </c>
      <c r="C33">
        <v>2.659242341609E-2</v>
      </c>
      <c r="D33">
        <v>3.3045233628993302E-2</v>
      </c>
      <c r="E33">
        <v>3.3019205376009102E-2</v>
      </c>
      <c r="F33">
        <v>3.0317441356383E-2</v>
      </c>
      <c r="G33">
        <v>3.3045233628993302E-2</v>
      </c>
      <c r="H33">
        <v>3.3045233628993302E-2</v>
      </c>
      <c r="I33" s="24">
        <v>3.6107833307373598E-2</v>
      </c>
      <c r="J33">
        <v>2.5</v>
      </c>
      <c r="K33">
        <v>5.5367745217745103E-3</v>
      </c>
      <c r="L33">
        <v>5.48582937638492E-3</v>
      </c>
      <c r="M33">
        <v>8.4220458388191508E-3</v>
      </c>
      <c r="N33">
        <v>8.4565154664172203E-3</v>
      </c>
      <c r="O33">
        <v>5.7675967087765902E-3</v>
      </c>
      <c r="P33">
        <v>8.4220458388191508E-3</v>
      </c>
      <c r="Q33">
        <v>8.4220458388191508E-3</v>
      </c>
      <c r="R33" s="29">
        <v>1.11499928662658E-2</v>
      </c>
      <c r="S33">
        <v>2.5</v>
      </c>
      <c r="T33">
        <v>0.63957870411070405</v>
      </c>
      <c r="U33">
        <v>0.58342070894948295</v>
      </c>
      <c r="V33">
        <v>0.51609339889820505</v>
      </c>
      <c r="W33">
        <v>0.51654916259655703</v>
      </c>
      <c r="X33">
        <v>0.49854053470744802</v>
      </c>
      <c r="Y33">
        <v>0.51609339889820505</v>
      </c>
      <c r="Z33">
        <v>0.51609339889820505</v>
      </c>
      <c r="AA33" s="34">
        <v>0.31712719183202998</v>
      </c>
      <c r="AB33">
        <v>2.5</v>
      </c>
      <c r="AC33">
        <v>0.356062367476146</v>
      </c>
      <c r="AD33">
        <v>0.24268897444942</v>
      </c>
      <c r="AE33">
        <v>0.19633131078927399</v>
      </c>
      <c r="AF33">
        <v>0.19920340503654499</v>
      </c>
      <c r="AG33">
        <v>0.135668881682181</v>
      </c>
      <c r="AH33">
        <v>0.19633131078927399</v>
      </c>
      <c r="AI33">
        <v>0.19633131078927399</v>
      </c>
      <c r="AJ33" s="39">
        <v>-0.42894351437649902</v>
      </c>
      <c r="AN33">
        <v>2.5</v>
      </c>
      <c r="AO33">
        <f t="shared" si="0"/>
        <v>0.49154492516694093</v>
      </c>
      <c r="AP33">
        <f t="shared" si="10"/>
        <v>0.49994474477241657</v>
      </c>
      <c r="AQ33">
        <f t="shared" si="11"/>
        <v>0.37860335337458961</v>
      </c>
      <c r="AR33">
        <f t="shared" si="12"/>
        <v>0.37909279972874421</v>
      </c>
      <c r="AS33">
        <f t="shared" si="13"/>
        <v>0.42989792099427648</v>
      </c>
      <c r="AT33">
        <f t="shared" si="14"/>
        <v>0.37860335337458961</v>
      </c>
      <c r="AU33">
        <f t="shared" si="15"/>
        <v>0.37860335337458961</v>
      </c>
      <c r="AV33" s="6">
        <f t="shared" si="15"/>
        <v>0.32101292470738718</v>
      </c>
      <c r="AW33">
        <v>2.5</v>
      </c>
      <c r="AX33">
        <f t="shared" si="2"/>
        <v>0.41521558408057258</v>
      </c>
      <c r="AY33">
        <f t="shared" si="16"/>
        <v>0.42059632100121447</v>
      </c>
      <c r="AZ33">
        <f t="shared" si="17"/>
        <v>0.11047828707280705</v>
      </c>
      <c r="BA33">
        <f t="shared" si="18"/>
        <v>0.10683766545048445</v>
      </c>
      <c r="BB33">
        <f t="shared" si="19"/>
        <v>0.39083654945013657</v>
      </c>
      <c r="BC33">
        <f>1-(P33/$AL$4)</f>
        <v>0.11047828707280705</v>
      </c>
      <c r="BD33">
        <f>1-(Q33/$AL$4)</f>
        <v>0.11047828707280705</v>
      </c>
      <c r="BE33" s="6">
        <f>1-(R33/$AL$4)</f>
        <v>-0.17764269434531532</v>
      </c>
      <c r="BJ33" s="17">
        <v>2.5</v>
      </c>
      <c r="BK33" s="18">
        <f t="shared" si="4"/>
        <v>0.47560039520859088</v>
      </c>
      <c r="BL33" s="19">
        <f t="shared" si="20"/>
        <v>0.43666268729313351</v>
      </c>
      <c r="BM33" s="19">
        <f t="shared" si="21"/>
        <v>0.30037658753371893</v>
      </c>
      <c r="BN33" s="19">
        <f t="shared" si="22"/>
        <v>0.30042075820308267</v>
      </c>
      <c r="BO33" s="19">
        <f t="shared" si="23"/>
        <v>0.36373597170851052</v>
      </c>
      <c r="BP33" s="19">
        <f t="shared" si="24"/>
        <v>0.30037658753371893</v>
      </c>
      <c r="BQ33" s="19">
        <f t="shared" si="25"/>
        <v>0.30037658753371893</v>
      </c>
      <c r="BR33" s="20">
        <f t="shared" si="25"/>
        <v>7.8884769544007027E-3</v>
      </c>
      <c r="BT33" t="s">
        <v>2</v>
      </c>
      <c r="BU33" s="1">
        <f t="shared" si="6"/>
        <v>0.47560039520859088</v>
      </c>
    </row>
    <row r="34" spans="1:73" ht="15" thickBot="1">
      <c r="A34" t="s">
        <v>12</v>
      </c>
      <c r="J34" t="s">
        <v>12</v>
      </c>
      <c r="S34" t="s">
        <v>12</v>
      </c>
      <c r="AB34" t="s">
        <v>12</v>
      </c>
      <c r="AN34" t="s">
        <v>12</v>
      </c>
      <c r="AW34" t="s">
        <v>12</v>
      </c>
      <c r="BJ34" t="s">
        <v>12</v>
      </c>
      <c r="BU34" s="1"/>
    </row>
    <row r="35" spans="1:73" ht="15" thickBot="1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J35" t="s">
        <v>1</v>
      </c>
      <c r="K35" t="s">
        <v>2</v>
      </c>
      <c r="L35" t="s">
        <v>3</v>
      </c>
      <c r="M35" t="s">
        <v>4</v>
      </c>
      <c r="N35" t="s">
        <v>5</v>
      </c>
      <c r="O35" t="s">
        <v>6</v>
      </c>
      <c r="P35" t="s">
        <v>7</v>
      </c>
      <c r="Q35" t="s">
        <v>8</v>
      </c>
      <c r="S35" t="s">
        <v>1</v>
      </c>
      <c r="T35" t="s">
        <v>2</v>
      </c>
      <c r="U35" t="s">
        <v>3</v>
      </c>
      <c r="V35" t="s">
        <v>4</v>
      </c>
      <c r="W35" t="s">
        <v>5</v>
      </c>
      <c r="X35" t="s">
        <v>6</v>
      </c>
      <c r="Y35" t="s">
        <v>7</v>
      </c>
      <c r="Z35" t="s">
        <v>8</v>
      </c>
      <c r="AB35" t="s">
        <v>1</v>
      </c>
      <c r="AC35" t="s">
        <v>2</v>
      </c>
      <c r="AD35" t="s">
        <v>3</v>
      </c>
      <c r="AE35" t="s">
        <v>4</v>
      </c>
      <c r="AF35" t="s">
        <v>5</v>
      </c>
      <c r="AG35" t="s">
        <v>6</v>
      </c>
      <c r="AH35" t="s">
        <v>7</v>
      </c>
      <c r="AI35" t="s">
        <v>8</v>
      </c>
      <c r="AN35" t="s">
        <v>1</v>
      </c>
      <c r="AO35" t="s">
        <v>2</v>
      </c>
      <c r="AP35" t="s">
        <v>3</v>
      </c>
      <c r="AQ35" t="s">
        <v>4</v>
      </c>
      <c r="AR35" t="s">
        <v>5</v>
      </c>
      <c r="AS35" t="s">
        <v>6</v>
      </c>
      <c r="AT35" t="s">
        <v>7</v>
      </c>
      <c r="AU35" t="s">
        <v>8</v>
      </c>
      <c r="AW35" t="s">
        <v>1</v>
      </c>
      <c r="AX35" t="s">
        <v>2</v>
      </c>
      <c r="AY35" t="s">
        <v>3</v>
      </c>
      <c r="AZ35" t="s">
        <v>4</v>
      </c>
      <c r="BA35" t="s">
        <v>5</v>
      </c>
      <c r="BB35" t="s">
        <v>6</v>
      </c>
      <c r="BC35" t="s">
        <v>7</v>
      </c>
      <c r="BD35" t="s">
        <v>8</v>
      </c>
      <c r="BJ35" s="2" t="s">
        <v>1</v>
      </c>
      <c r="BK35" s="7" t="s">
        <v>2</v>
      </c>
      <c r="BL35" s="8" t="s">
        <v>3</v>
      </c>
      <c r="BM35" s="8" t="s">
        <v>4</v>
      </c>
      <c r="BN35" s="8" t="s">
        <v>5</v>
      </c>
      <c r="BO35" s="8" t="s">
        <v>6</v>
      </c>
      <c r="BP35" s="8" t="s">
        <v>7</v>
      </c>
      <c r="BQ35" s="8" t="s">
        <v>8</v>
      </c>
      <c r="BR35" s="9"/>
      <c r="BU35" s="1"/>
    </row>
    <row r="36" spans="1:73">
      <c r="A36">
        <v>0.2</v>
      </c>
      <c r="B36">
        <v>4.4448038176033903E-4</v>
      </c>
      <c r="C36">
        <v>6.2378897136797598E-4</v>
      </c>
      <c r="D36">
        <v>6.0525224215246705E-4</v>
      </c>
      <c r="E36">
        <v>6.05402466367713E-4</v>
      </c>
      <c r="F36">
        <v>1.03711434977578E-3</v>
      </c>
      <c r="G36">
        <v>3.3530762331838602E-3</v>
      </c>
      <c r="H36">
        <v>3.23384192825112E-3</v>
      </c>
      <c r="I36" s="25">
        <v>4.7423813025210104E-3</v>
      </c>
      <c r="J36">
        <v>0.2</v>
      </c>
      <c r="K36">
        <v>2.5683987274655301E-6</v>
      </c>
      <c r="L36">
        <v>6.1102863202545301E-6</v>
      </c>
      <c r="M36">
        <v>5.9237668161435203E-6</v>
      </c>
      <c r="N36">
        <v>5.9271300448430702E-6</v>
      </c>
      <c r="O36">
        <v>1.28744394618834E-5</v>
      </c>
      <c r="P36">
        <v>1.11093049327354E-4</v>
      </c>
      <c r="Q36">
        <v>1.01408071748879E-4</v>
      </c>
      <c r="R36" s="30">
        <v>2.0244012605042001E-4</v>
      </c>
      <c r="S36">
        <v>0.2</v>
      </c>
      <c r="T36">
        <v>0.991491545068931</v>
      </c>
      <c r="U36">
        <v>0.98847853764581195</v>
      </c>
      <c r="V36">
        <v>0.98846903251121099</v>
      </c>
      <c r="W36">
        <v>0.98846568834080795</v>
      </c>
      <c r="X36">
        <v>0.98133288677130204</v>
      </c>
      <c r="Y36">
        <v>0.91417794730941804</v>
      </c>
      <c r="Z36">
        <v>0.92417181838565099</v>
      </c>
      <c r="AA36" s="35">
        <v>0.91448892752100797</v>
      </c>
      <c r="AB36">
        <v>0.2</v>
      </c>
      <c r="AC36">
        <v>0.99967588547189801</v>
      </c>
      <c r="AD36">
        <v>0.99921397985153904</v>
      </c>
      <c r="AE36">
        <v>0.99926800000000104</v>
      </c>
      <c r="AF36">
        <v>0.99926788677130196</v>
      </c>
      <c r="AG36">
        <v>0.99830552578475296</v>
      </c>
      <c r="AH36">
        <v>0.98466728363228695</v>
      </c>
      <c r="AI36">
        <v>0.98640413789237702</v>
      </c>
      <c r="AJ36" s="40">
        <v>0.98054983193277301</v>
      </c>
      <c r="AN36">
        <v>0.2</v>
      </c>
      <c r="AO36">
        <f t="shared" si="0"/>
        <v>0.99164180160389837</v>
      </c>
      <c r="AP36">
        <f t="shared" si="10"/>
        <v>0.98827000652009667</v>
      </c>
      <c r="AQ36">
        <f t="shared" si="11"/>
        <v>0.98861857907077799</v>
      </c>
      <c r="AR36">
        <f t="shared" si="12"/>
        <v>0.98861575419065628</v>
      </c>
      <c r="AS36">
        <f t="shared" si="13"/>
        <v>0.98049766007548134</v>
      </c>
      <c r="AT36">
        <f t="shared" si="14"/>
        <v>0.93694732648669465</v>
      </c>
      <c r="AU36">
        <f t="shared" si="15"/>
        <v>0.93918945913673924</v>
      </c>
      <c r="AV36" s="6">
        <f t="shared" si="15"/>
        <v>0.91082224227883668</v>
      </c>
      <c r="AW36">
        <v>0.2</v>
      </c>
      <c r="AX36">
        <f t="shared" si="2"/>
        <v>0.99972873023024822</v>
      </c>
      <c r="AY36">
        <f t="shared" si="16"/>
        <v>0.99935464227361293</v>
      </c>
      <c r="AZ36">
        <f t="shared" si="17"/>
        <v>0.99937434213656384</v>
      </c>
      <c r="BA36">
        <f t="shared" si="18"/>
        <v>0.99937398691824619</v>
      </c>
      <c r="BB36">
        <f t="shared" si="19"/>
        <v>0.99864022428014743</v>
      </c>
      <c r="BC36">
        <f>1-(P36/$AL$4)</f>
        <v>0.98826654693845406</v>
      </c>
      <c r="BD36">
        <f>1-(Q36/$AL$4)</f>
        <v>0.98928945728709616</v>
      </c>
      <c r="BE36" s="6">
        <f>1-(R36/$AL$4)</f>
        <v>0.97861862887761075</v>
      </c>
      <c r="BJ36" s="10">
        <v>0.2</v>
      </c>
      <c r="BK36" s="11">
        <f t="shared" si="4"/>
        <v>0.99563449059374387</v>
      </c>
      <c r="BL36" s="12">
        <f t="shared" si="20"/>
        <v>0.99382929157276523</v>
      </c>
      <c r="BM36" s="21">
        <f t="shared" si="21"/>
        <v>0.99393248842963844</v>
      </c>
      <c r="BN36" s="12">
        <f t="shared" si="22"/>
        <v>0.9939308290552531</v>
      </c>
      <c r="BO36" s="12">
        <f t="shared" si="23"/>
        <v>0.98969407422792099</v>
      </c>
      <c r="BP36" s="12">
        <f t="shared" si="24"/>
        <v>0.95601477609171337</v>
      </c>
      <c r="BQ36" s="12">
        <f t="shared" si="25"/>
        <v>0.9597637181754658</v>
      </c>
      <c r="BR36" s="13">
        <f t="shared" si="25"/>
        <v>0.94611990765255705</v>
      </c>
      <c r="BT36" t="s">
        <v>2</v>
      </c>
      <c r="BU36" s="1">
        <f t="shared" si="6"/>
        <v>0.99563449059374387</v>
      </c>
    </row>
    <row r="37" spans="1:73">
      <c r="A37">
        <v>0.5</v>
      </c>
      <c r="B37">
        <v>2.7946648992576901E-3</v>
      </c>
      <c r="C37">
        <v>3.3082778366913999E-3</v>
      </c>
      <c r="D37">
        <v>6.8991726457399098E-3</v>
      </c>
      <c r="E37">
        <v>6.9061154708520197E-3</v>
      </c>
      <c r="F37">
        <v>4.5926203807390804E-3</v>
      </c>
      <c r="G37">
        <v>6.8991726457399098E-3</v>
      </c>
      <c r="H37">
        <v>6.8991726457399098E-3</v>
      </c>
      <c r="I37" s="25">
        <v>1.30504422268908E-2</v>
      </c>
      <c r="J37">
        <v>0.5</v>
      </c>
      <c r="K37">
        <v>6.5160127253446502E-5</v>
      </c>
      <c r="L37">
        <v>8.8076352067868404E-5</v>
      </c>
      <c r="M37">
        <v>3.8485426008968602E-4</v>
      </c>
      <c r="N37">
        <v>3.8575336322870001E-4</v>
      </c>
      <c r="O37">
        <v>1.5681858902575599E-4</v>
      </c>
      <c r="P37">
        <v>3.8485426008968602E-4</v>
      </c>
      <c r="Q37">
        <v>3.8485426008968602E-4</v>
      </c>
      <c r="R37" s="30">
        <v>4.14543382352941E-3</v>
      </c>
      <c r="S37">
        <v>0.5</v>
      </c>
      <c r="T37">
        <v>0.95272249840933099</v>
      </c>
      <c r="U37">
        <v>0.94152325238600099</v>
      </c>
      <c r="V37">
        <v>0.81109984417040204</v>
      </c>
      <c r="W37">
        <v>0.81062785874439403</v>
      </c>
      <c r="X37">
        <v>0.89595579171332596</v>
      </c>
      <c r="Y37">
        <v>0.81109984417040204</v>
      </c>
      <c r="Z37">
        <v>0.81109984417040204</v>
      </c>
      <c r="AA37" s="35">
        <v>0.68584281197479002</v>
      </c>
      <c r="AB37">
        <v>0.5</v>
      </c>
      <c r="AC37">
        <v>0.99049692258748701</v>
      </c>
      <c r="AD37">
        <v>0.98782695970307699</v>
      </c>
      <c r="AE37">
        <v>0.94417797982062801</v>
      </c>
      <c r="AF37">
        <v>0.94402936322870101</v>
      </c>
      <c r="AG37">
        <v>0.97687912653975395</v>
      </c>
      <c r="AH37">
        <v>0.94417797982062801</v>
      </c>
      <c r="AI37">
        <v>0.94417797982062801</v>
      </c>
      <c r="AJ37" s="40">
        <v>0.74646521008403399</v>
      </c>
      <c r="AN37">
        <v>0.5</v>
      </c>
      <c r="AO37">
        <f t="shared" si="0"/>
        <v>0.9474479310287941</v>
      </c>
      <c r="AP37">
        <f t="shared" si="10"/>
        <v>0.93778973461329918</v>
      </c>
      <c r="AQ37">
        <f t="shared" si="11"/>
        <v>0.87026501931609601</v>
      </c>
      <c r="AR37">
        <f t="shared" si="12"/>
        <v>0.87013446347584356</v>
      </c>
      <c r="AS37">
        <f t="shared" si="13"/>
        <v>0.91363841043293847</v>
      </c>
      <c r="AT37">
        <f t="shared" si="14"/>
        <v>0.87026501931609601</v>
      </c>
      <c r="AU37">
        <f t="shared" si="15"/>
        <v>0.87026501931609601</v>
      </c>
      <c r="AV37" s="6">
        <f t="shared" si="15"/>
        <v>0.75459392637934131</v>
      </c>
      <c r="AW37">
        <v>0.5</v>
      </c>
      <c r="AX37">
        <f t="shared" si="2"/>
        <v>0.99311790162173152</v>
      </c>
      <c r="AY37">
        <f t="shared" si="16"/>
        <v>0.99069753014182438</v>
      </c>
      <c r="AZ37">
        <f t="shared" si="17"/>
        <v>0.95935236791464629</v>
      </c>
      <c r="BA37">
        <f t="shared" si="18"/>
        <v>0.95925740621773559</v>
      </c>
      <c r="BB37">
        <f t="shared" si="19"/>
        <v>0.98343709561801973</v>
      </c>
      <c r="BC37">
        <f>1-(P37/$AL$4)</f>
        <v>0.95935236791464629</v>
      </c>
      <c r="BD37" s="6">
        <f t="shared" ref="BD37:BD41" si="28">1-(Q37/$AL$4)</f>
        <v>0.95935236791464629</v>
      </c>
      <c r="BE37" s="6">
        <f t="shared" ref="BE37:BE41" si="29">1-(R37/$AL$4)</f>
        <v>0.56216654882880346</v>
      </c>
      <c r="BJ37" s="14">
        <v>0.5</v>
      </c>
      <c r="BK37" s="15">
        <f t="shared" si="4"/>
        <v>0.97094631341183602</v>
      </c>
      <c r="BL37" s="16">
        <f t="shared" si="20"/>
        <v>0.96445936921105047</v>
      </c>
      <c r="BM37" s="16">
        <f t="shared" si="21"/>
        <v>0.89622380280544311</v>
      </c>
      <c r="BN37" s="16">
        <f t="shared" si="22"/>
        <v>0.89601227291666852</v>
      </c>
      <c r="BO37" s="16">
        <f t="shared" si="23"/>
        <v>0.9424776060760095</v>
      </c>
      <c r="BP37" s="16">
        <f t="shared" si="24"/>
        <v>0.89622380280544311</v>
      </c>
      <c r="BQ37" s="16">
        <f t="shared" si="25"/>
        <v>0.89622380280544311</v>
      </c>
      <c r="BR37" s="13">
        <f t="shared" si="25"/>
        <v>0.6872671243167422</v>
      </c>
      <c r="BT37" t="s">
        <v>2</v>
      </c>
      <c r="BU37" s="1">
        <f t="shared" si="6"/>
        <v>0.97094631341183602</v>
      </c>
    </row>
    <row r="38" spans="1:73">
      <c r="A38">
        <v>1</v>
      </c>
      <c r="B38">
        <v>7.6117444326617399E-3</v>
      </c>
      <c r="C38">
        <v>8.2768133616118802E-3</v>
      </c>
      <c r="D38">
        <v>1.21537062780269E-2</v>
      </c>
      <c r="E38">
        <v>1.2165485426009001E-2</v>
      </c>
      <c r="F38">
        <v>1.0353424412094E-2</v>
      </c>
      <c r="G38">
        <v>1.3698600896861E-2</v>
      </c>
      <c r="H38">
        <v>1.36674304932735E-2</v>
      </c>
      <c r="I38" s="25">
        <v>2.5897775210084E-2</v>
      </c>
      <c r="J38">
        <v>1</v>
      </c>
      <c r="K38">
        <v>4.4758112407211002E-4</v>
      </c>
      <c r="L38">
        <v>5.1280275715800603E-4</v>
      </c>
      <c r="M38">
        <v>1.1568396860986499E-3</v>
      </c>
      <c r="N38">
        <v>1.1591266816143499E-3</v>
      </c>
      <c r="O38">
        <v>7.0122956326987599E-4</v>
      </c>
      <c r="P38">
        <v>1.4905840807174901E-3</v>
      </c>
      <c r="Q38">
        <v>1.46967825112108E-3</v>
      </c>
      <c r="R38" s="30">
        <v>2.22843287815126E-2</v>
      </c>
      <c r="S38">
        <v>1</v>
      </c>
      <c r="T38">
        <v>0.86838999681866302</v>
      </c>
      <c r="U38">
        <v>0.82990431283138899</v>
      </c>
      <c r="V38">
        <v>0.66177466816143604</v>
      </c>
      <c r="W38">
        <v>0.66011246636771304</v>
      </c>
      <c r="X38">
        <v>0.76160914781634903</v>
      </c>
      <c r="Y38">
        <v>0.61023389910313997</v>
      </c>
      <c r="Z38">
        <v>0.627492486547086</v>
      </c>
      <c r="AA38" s="35">
        <v>0.36620276680672298</v>
      </c>
      <c r="AB38">
        <v>1</v>
      </c>
      <c r="AC38">
        <v>0.94871780911983095</v>
      </c>
      <c r="AD38">
        <v>0.93523977200424302</v>
      </c>
      <c r="AE38">
        <v>0.837724579596412</v>
      </c>
      <c r="AF38">
        <v>0.83674916143497802</v>
      </c>
      <c r="AG38">
        <v>0.90007315453527403</v>
      </c>
      <c r="AH38">
        <v>0.79334221524663595</v>
      </c>
      <c r="AI38">
        <v>0.81072187443946198</v>
      </c>
      <c r="AJ38" s="40">
        <v>0.24256678046218499</v>
      </c>
      <c r="AN38">
        <v>1</v>
      </c>
      <c r="AO38">
        <f t="shared" si="0"/>
        <v>0.85686551596125793</v>
      </c>
      <c r="AP38">
        <f t="shared" si="10"/>
        <v>0.84435927657846932</v>
      </c>
      <c r="AQ38">
        <f t="shared" si="11"/>
        <v>0.77145653106807255</v>
      </c>
      <c r="AR38">
        <f t="shared" si="12"/>
        <v>0.77123503095285595</v>
      </c>
      <c r="AS38">
        <f t="shared" si="13"/>
        <v>0.80530979798792646</v>
      </c>
      <c r="AT38">
        <f t="shared" si="14"/>
        <v>0.74240567470823526</v>
      </c>
      <c r="AU38">
        <f t="shared" si="15"/>
        <v>0.7429918162522986</v>
      </c>
      <c r="AV38" s="6">
        <f t="shared" si="15"/>
        <v>0.51300720547833101</v>
      </c>
      <c r="AW38">
        <v>1</v>
      </c>
      <c r="AX38">
        <f t="shared" si="2"/>
        <v>0.95272726653618833</v>
      </c>
      <c r="AY38">
        <f t="shared" si="16"/>
        <v>0.9458386720197508</v>
      </c>
      <c r="AZ38">
        <f t="shared" si="17"/>
        <v>0.87781662094291013</v>
      </c>
      <c r="BA38">
        <f t="shared" si="18"/>
        <v>0.87757507248692734</v>
      </c>
      <c r="BB38">
        <f t="shared" si="19"/>
        <v>0.92593736317606357</v>
      </c>
      <c r="BC38">
        <f>1-(P38/$AL$4)</f>
        <v>0.84256712322433391</v>
      </c>
      <c r="BD38" s="6">
        <f t="shared" si="28"/>
        <v>0.84477516028666488</v>
      </c>
      <c r="BE38" s="6">
        <f t="shared" si="29"/>
        <v>-1.3536317289794182</v>
      </c>
      <c r="BJ38" s="14">
        <v>1</v>
      </c>
      <c r="BK38" s="15">
        <f t="shared" si="4"/>
        <v>0.90667514710898511</v>
      </c>
      <c r="BL38" s="16">
        <f t="shared" si="20"/>
        <v>0.88883550835846292</v>
      </c>
      <c r="BM38" s="16">
        <f t="shared" si="21"/>
        <v>0.78719309994220765</v>
      </c>
      <c r="BN38" s="16">
        <f t="shared" si="22"/>
        <v>0.78641793281061856</v>
      </c>
      <c r="BO38" s="16">
        <f t="shared" si="23"/>
        <v>0.84823236587890327</v>
      </c>
      <c r="BP38" s="16">
        <f t="shared" si="24"/>
        <v>0.74713722807058625</v>
      </c>
      <c r="BQ38" s="16">
        <f t="shared" si="25"/>
        <v>0.75649533438137784</v>
      </c>
      <c r="BR38" s="13">
        <f t="shared" si="25"/>
        <v>-5.7963744058044803E-2</v>
      </c>
      <c r="BT38" t="s">
        <v>2</v>
      </c>
      <c r="BU38" s="1">
        <f t="shared" si="6"/>
        <v>0.90667514710898511</v>
      </c>
    </row>
    <row r="39" spans="1:73">
      <c r="A39">
        <v>1.5</v>
      </c>
      <c r="B39">
        <v>1.2481391791044801E-2</v>
      </c>
      <c r="C39">
        <v>1.26522686567164E-2</v>
      </c>
      <c r="D39">
        <v>1.8464751121076199E-2</v>
      </c>
      <c r="E39">
        <v>1.8492123318385699E-2</v>
      </c>
      <c r="F39">
        <v>1.4635161254199299E-2</v>
      </c>
      <c r="G39">
        <v>1.8464751121076199E-2</v>
      </c>
      <c r="H39">
        <v>1.8464751121076199E-2</v>
      </c>
      <c r="I39" s="25">
        <v>6.0978401260504203E-2</v>
      </c>
      <c r="J39">
        <v>1.5</v>
      </c>
      <c r="K39">
        <v>1.1394067164179099E-3</v>
      </c>
      <c r="L39">
        <v>1.1980199004975099E-3</v>
      </c>
      <c r="M39">
        <v>2.6069562780269102E-3</v>
      </c>
      <c r="N39">
        <v>2.6129719730941699E-3</v>
      </c>
      <c r="O39">
        <v>1.32703247480403E-3</v>
      </c>
      <c r="P39">
        <v>2.6069562780269102E-3</v>
      </c>
      <c r="Q39">
        <v>2.6069562780269102E-3</v>
      </c>
      <c r="R39" s="30">
        <v>0.10611528151260501</v>
      </c>
      <c r="S39">
        <v>1.5</v>
      </c>
      <c r="T39">
        <v>0.71188817661691495</v>
      </c>
      <c r="U39">
        <v>0.69686154726368199</v>
      </c>
      <c r="V39">
        <v>0.47411890582959698</v>
      </c>
      <c r="W39">
        <v>0.470121878923766</v>
      </c>
      <c r="X39">
        <v>0.64268908062709995</v>
      </c>
      <c r="Y39">
        <v>0.47411890582959698</v>
      </c>
      <c r="Z39">
        <v>0.47411890582959698</v>
      </c>
      <c r="AA39" s="35">
        <v>-0.115602212184874</v>
      </c>
      <c r="AB39">
        <v>1.5</v>
      </c>
      <c r="AC39">
        <v>0.87989376616915405</v>
      </c>
      <c r="AD39">
        <v>0.85747357338308505</v>
      </c>
      <c r="AE39">
        <v>0.64269264798206105</v>
      </c>
      <c r="AF39">
        <v>0.63864833968609802</v>
      </c>
      <c r="AG39">
        <v>0.79173439865621398</v>
      </c>
      <c r="AH39">
        <v>0.64269264798206105</v>
      </c>
      <c r="AI39">
        <v>0.64269264798206105</v>
      </c>
      <c r="AJ39" s="40">
        <v>2.4201377100840301E-2</v>
      </c>
      <c r="AN39">
        <v>1.5</v>
      </c>
      <c r="AO39">
        <f t="shared" si="0"/>
        <v>0.76529459312497394</v>
      </c>
      <c r="AP39">
        <f t="shared" si="10"/>
        <v>0.76208135176900949</v>
      </c>
      <c r="AQ39">
        <f t="shared" si="11"/>
        <v>0.65278095606070974</v>
      </c>
      <c r="AR39">
        <f t="shared" si="12"/>
        <v>0.6522662376050965</v>
      </c>
      <c r="AS39">
        <f t="shared" si="13"/>
        <v>0.72479419488193741</v>
      </c>
      <c r="AT39">
        <f t="shared" si="14"/>
        <v>0.65278095606070974</v>
      </c>
      <c r="AU39">
        <f t="shared" si="15"/>
        <v>0.65278095606070974</v>
      </c>
      <c r="AV39" s="6">
        <f t="shared" si="15"/>
        <v>-0.14666382708247649</v>
      </c>
      <c r="AW39">
        <v>1.5</v>
      </c>
      <c r="AX39">
        <f t="shared" si="2"/>
        <v>0.87965786063081874</v>
      </c>
      <c r="AY39">
        <f t="shared" si="16"/>
        <v>0.87346723891010947</v>
      </c>
      <c r="AZ39">
        <f t="shared" si="17"/>
        <v>0.724657849370963</v>
      </c>
      <c r="BA39">
        <f t="shared" si="18"/>
        <v>0.72402248220684573</v>
      </c>
      <c r="BB39">
        <f t="shared" si="19"/>
        <v>0.85984115704323938</v>
      </c>
      <c r="BC39">
        <f>1-(P39/$AL$4)</f>
        <v>0.724657849370963</v>
      </c>
      <c r="BD39" s="6">
        <f t="shared" si="28"/>
        <v>0.724657849370963</v>
      </c>
      <c r="BE39" s="6">
        <f t="shared" si="29"/>
        <v>-10.207709953770367</v>
      </c>
      <c r="BJ39" s="14">
        <v>1.5</v>
      </c>
      <c r="BK39" s="15">
        <f t="shared" si="4"/>
        <v>0.80918359913546545</v>
      </c>
      <c r="BL39" s="16">
        <f t="shared" si="20"/>
        <v>0.79747092783147155</v>
      </c>
      <c r="BM39" s="16">
        <f t="shared" si="21"/>
        <v>0.62356258981083268</v>
      </c>
      <c r="BN39" s="16">
        <f t="shared" si="22"/>
        <v>0.62126473460545162</v>
      </c>
      <c r="BO39" s="16">
        <f t="shared" si="23"/>
        <v>0.75476470780212268</v>
      </c>
      <c r="BP39" s="16">
        <f t="shared" si="24"/>
        <v>0.62356258981083268</v>
      </c>
      <c r="BQ39" s="16">
        <f t="shared" si="25"/>
        <v>0.62356258981083268</v>
      </c>
      <c r="BR39" s="13">
        <f t="shared" si="25"/>
        <v>-2.6114436539842187</v>
      </c>
      <c r="BT39" t="s">
        <v>2</v>
      </c>
      <c r="BU39" s="1">
        <f t="shared" si="6"/>
        <v>0.80918359913546545</v>
      </c>
    </row>
    <row r="40" spans="1:73">
      <c r="A40">
        <v>2</v>
      </c>
      <c r="B40">
        <v>2.7052565737051799E-2</v>
      </c>
      <c r="C40">
        <v>2.8298503984063798E-2</v>
      </c>
      <c r="D40">
        <v>1.9886166853303501E-2</v>
      </c>
      <c r="E40">
        <v>1.9906032474803999E-2</v>
      </c>
      <c r="F40">
        <v>1.9546026875699899E-2</v>
      </c>
      <c r="G40">
        <v>2.0702346024636099E-2</v>
      </c>
      <c r="H40">
        <v>2.0571412094065E-2</v>
      </c>
      <c r="I40" s="25">
        <v>3.9792695378151298E-2</v>
      </c>
      <c r="J40">
        <v>2</v>
      </c>
      <c r="K40">
        <v>4.1386115537848604E-3</v>
      </c>
      <c r="L40">
        <v>4.4377968127490104E-3</v>
      </c>
      <c r="M40">
        <v>3.2860279955207201E-3</v>
      </c>
      <c r="N40">
        <v>3.2948980963045898E-3</v>
      </c>
      <c r="O40">
        <v>2.13936170212766E-3</v>
      </c>
      <c r="P40">
        <v>3.67171108622621E-3</v>
      </c>
      <c r="Q40">
        <v>3.6295879059350502E-3</v>
      </c>
      <c r="R40" s="30">
        <v>4.8234010504201702E-2</v>
      </c>
      <c r="S40">
        <v>2</v>
      </c>
      <c r="T40">
        <v>0.408686886454183</v>
      </c>
      <c r="U40">
        <v>0.35847652988047801</v>
      </c>
      <c r="V40">
        <v>0.37464913997760302</v>
      </c>
      <c r="W40">
        <v>0.367904942889138</v>
      </c>
      <c r="X40">
        <v>0.515224016797312</v>
      </c>
      <c r="Y40">
        <v>0.34996110750279902</v>
      </c>
      <c r="Z40">
        <v>0.34451367077267597</v>
      </c>
      <c r="AA40" s="35">
        <v>3.3401009453781501E-2</v>
      </c>
      <c r="AB40">
        <v>2</v>
      </c>
      <c r="AC40">
        <v>0.470821143426295</v>
      </c>
      <c r="AD40">
        <v>0.38886834462151398</v>
      </c>
      <c r="AE40">
        <v>0.44834242665173601</v>
      </c>
      <c r="AF40">
        <v>0.44380271444568897</v>
      </c>
      <c r="AG40">
        <v>0.57871398432250798</v>
      </c>
      <c r="AH40">
        <v>0.41230710302351598</v>
      </c>
      <c r="AI40">
        <v>0.40833632362821998</v>
      </c>
      <c r="AJ40" s="40">
        <v>5.3215924369747897E-3</v>
      </c>
      <c r="AN40">
        <v>2</v>
      </c>
      <c r="AO40">
        <f t="shared" si="0"/>
        <v>0.49129203260138732</v>
      </c>
      <c r="AP40">
        <f t="shared" si="10"/>
        <v>0.4678628791782955</v>
      </c>
      <c r="AQ40">
        <f t="shared" si="11"/>
        <v>0.62605204927241909</v>
      </c>
      <c r="AR40">
        <f t="shared" si="12"/>
        <v>0.62567848766525569</v>
      </c>
      <c r="AS40">
        <f t="shared" si="13"/>
        <v>0.63244818627175547</v>
      </c>
      <c r="AT40">
        <f t="shared" si="14"/>
        <v>0.61070426853630111</v>
      </c>
      <c r="AU40">
        <f t="shared" si="15"/>
        <v>0.61316640592954319</v>
      </c>
      <c r="AV40" s="6">
        <f t="shared" si="15"/>
        <v>0.25172120900139094</v>
      </c>
      <c r="AW40">
        <v>2</v>
      </c>
      <c r="AX40">
        <f t="shared" si="2"/>
        <v>0.56288710499595851</v>
      </c>
      <c r="AY40">
        <f t="shared" si="16"/>
        <v>0.53128768258368742</v>
      </c>
      <c r="AZ40">
        <f t="shared" si="17"/>
        <v>0.65293548536276647</v>
      </c>
      <c r="BA40">
        <f t="shared" si="18"/>
        <v>0.65199864087223458</v>
      </c>
      <c r="BB40">
        <f t="shared" si="19"/>
        <v>0.77404436852195402</v>
      </c>
      <c r="BC40">
        <f>1-(P40/$AL$4)</f>
        <v>0.61220031364117644</v>
      </c>
      <c r="BD40" s="6">
        <f t="shared" si="28"/>
        <v>0.61664929007797364</v>
      </c>
      <c r="BE40" s="6">
        <f t="shared" si="29"/>
        <v>-4.0943916081869034</v>
      </c>
      <c r="BJ40" s="14">
        <v>2</v>
      </c>
      <c r="BK40" s="15">
        <f t="shared" si="4"/>
        <v>0.483421791869456</v>
      </c>
      <c r="BL40" s="16">
        <f t="shared" si="20"/>
        <v>0.43662385906599371</v>
      </c>
      <c r="BM40" s="16">
        <f t="shared" si="21"/>
        <v>0.5254947753161312</v>
      </c>
      <c r="BN40" s="16">
        <f t="shared" si="22"/>
        <v>0.52234619646807934</v>
      </c>
      <c r="BO40" s="16">
        <f t="shared" si="23"/>
        <v>0.6251076389783824</v>
      </c>
      <c r="BP40" s="16">
        <f t="shared" si="24"/>
        <v>0.49629319817594814</v>
      </c>
      <c r="BQ40" s="16">
        <f t="shared" si="25"/>
        <v>0.4956664226021032</v>
      </c>
      <c r="BR40" s="13">
        <f t="shared" si="25"/>
        <v>-0.95098694932368899</v>
      </c>
      <c r="BT40" t="s">
        <v>6</v>
      </c>
      <c r="BU40" s="1">
        <f t="shared" si="6"/>
        <v>0.6251076389783824</v>
      </c>
    </row>
    <row r="41" spans="1:73" ht="15" thickBot="1">
      <c r="A41">
        <v>2.5</v>
      </c>
      <c r="B41">
        <v>3.3129647657841203E-2</v>
      </c>
      <c r="C41">
        <v>3.3471433808554003E-2</v>
      </c>
      <c r="D41">
        <v>2.8347582306830901E-2</v>
      </c>
      <c r="E41">
        <v>2.8537937290033601E-2</v>
      </c>
      <c r="F41">
        <v>2.4984176931690898E-2</v>
      </c>
      <c r="G41">
        <v>2.8347582306830901E-2</v>
      </c>
      <c r="H41">
        <v>2.8347582306830901E-2</v>
      </c>
      <c r="I41" s="25">
        <v>3.0284611344537801E-2</v>
      </c>
      <c r="J41">
        <v>2.5</v>
      </c>
      <c r="K41">
        <v>5.2908818737270897E-3</v>
      </c>
      <c r="L41">
        <v>5.3398676171079497E-3</v>
      </c>
      <c r="M41">
        <v>5.7449395296752604E-3</v>
      </c>
      <c r="N41">
        <v>5.8078857782754697E-3</v>
      </c>
      <c r="O41">
        <v>3.5042821948488199E-3</v>
      </c>
      <c r="P41">
        <v>5.7449395296752604E-3</v>
      </c>
      <c r="Q41">
        <v>5.7449395296752604E-3</v>
      </c>
      <c r="R41" s="30">
        <v>5.9065966386554602E-3</v>
      </c>
      <c r="S41">
        <v>2.5</v>
      </c>
      <c r="T41">
        <v>0.33158372301425698</v>
      </c>
      <c r="U41">
        <v>0.343467224032587</v>
      </c>
      <c r="V41">
        <v>-0.30733865509518499</v>
      </c>
      <c r="W41">
        <v>-0.33999639529675202</v>
      </c>
      <c r="X41">
        <v>0.31208227435610297</v>
      </c>
      <c r="Y41">
        <v>-0.30733865509518499</v>
      </c>
      <c r="Z41">
        <v>-0.30733865509518499</v>
      </c>
      <c r="AA41" s="35">
        <v>3.8881667016806697E-2</v>
      </c>
      <c r="AB41">
        <v>2.5</v>
      </c>
      <c r="AC41">
        <v>0.29473914052953198</v>
      </c>
      <c r="AD41">
        <v>0.30249124847250503</v>
      </c>
      <c r="AE41">
        <v>-0.81825894512877995</v>
      </c>
      <c r="AF41">
        <v>-0.85994751399776004</v>
      </c>
      <c r="AG41">
        <v>0.22106655431131</v>
      </c>
      <c r="AH41">
        <v>-0.81825894512877995</v>
      </c>
      <c r="AI41">
        <v>-0.81825894512877995</v>
      </c>
      <c r="AJ41" s="40">
        <v>-0.66367317857142905</v>
      </c>
      <c r="AN41">
        <v>2.5</v>
      </c>
      <c r="AO41">
        <f t="shared" si="0"/>
        <v>0.37701599602547387</v>
      </c>
      <c r="AP41">
        <f t="shared" si="10"/>
        <v>0.37058890368591191</v>
      </c>
      <c r="AQ41">
        <f t="shared" si="11"/>
        <v>0.46693998949526661</v>
      </c>
      <c r="AR41">
        <f t="shared" si="12"/>
        <v>0.46336047332181118</v>
      </c>
      <c r="AS41">
        <f t="shared" si="13"/>
        <v>0.53018689659294083</v>
      </c>
      <c r="AT41">
        <f t="shared" si="14"/>
        <v>0.46693998949526661</v>
      </c>
      <c r="AU41">
        <f t="shared" si="15"/>
        <v>0.46693998949526661</v>
      </c>
      <c r="AV41" s="6">
        <f t="shared" si="15"/>
        <v>0.43051527051881977</v>
      </c>
      <c r="AW41">
        <v>2.5</v>
      </c>
      <c r="AX41">
        <f t="shared" si="2"/>
        <v>0.4411863343796486</v>
      </c>
      <c r="AY41">
        <f t="shared" si="16"/>
        <v>0.43601254606323836</v>
      </c>
      <c r="AZ41">
        <f t="shared" si="17"/>
        <v>0.39322956097607942</v>
      </c>
      <c r="BA41">
        <f t="shared" si="18"/>
        <v>0.38658128857899521</v>
      </c>
      <c r="BB41">
        <f t="shared" si="19"/>
        <v>0.62988385955172665</v>
      </c>
      <c r="BC41">
        <f>1-(P41/$AL$4)</f>
        <v>0.39322956097607942</v>
      </c>
      <c r="BD41" s="6">
        <f t="shared" si="28"/>
        <v>0.39322956097607942</v>
      </c>
      <c r="BE41" s="6">
        <f t="shared" si="29"/>
        <v>0.37615562060114949</v>
      </c>
      <c r="BJ41" s="17">
        <v>2.5</v>
      </c>
      <c r="BK41" s="18">
        <f t="shared" si="4"/>
        <v>0.3611312984872278</v>
      </c>
      <c r="BL41" s="19">
        <f t="shared" si="20"/>
        <v>0.36313998056356056</v>
      </c>
      <c r="BM41" s="19">
        <f t="shared" si="21"/>
        <v>-6.6357012438154728E-2</v>
      </c>
      <c r="BN41" s="19">
        <f t="shared" si="22"/>
        <v>-8.750053684842643E-2</v>
      </c>
      <c r="BO41" s="19">
        <f t="shared" si="23"/>
        <v>0.42330489620302009</v>
      </c>
      <c r="BP41" s="19">
        <f t="shared" si="24"/>
        <v>-6.6357012438154728E-2</v>
      </c>
      <c r="BQ41" s="19">
        <f t="shared" si="25"/>
        <v>-6.6357012438154728E-2</v>
      </c>
      <c r="BR41" s="20">
        <f t="shared" si="25"/>
        <v>4.5469844891336736E-2</v>
      </c>
      <c r="BT41" t="s">
        <v>6</v>
      </c>
      <c r="BU41" s="1">
        <f t="shared" si="6"/>
        <v>0.42330489620302009</v>
      </c>
    </row>
    <row r="42" spans="1:73" ht="15" thickBot="1">
      <c r="A42" t="s">
        <v>13</v>
      </c>
      <c r="J42" t="s">
        <v>13</v>
      </c>
      <c r="S42" t="s">
        <v>13</v>
      </c>
      <c r="AB42" t="s">
        <v>13</v>
      </c>
      <c r="AN42" t="s">
        <v>13</v>
      </c>
      <c r="AW42" t="s">
        <v>13</v>
      </c>
      <c r="BJ42" t="s">
        <v>13</v>
      </c>
      <c r="BU42" s="1"/>
    </row>
    <row r="43" spans="1:73" ht="15" thickBot="1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J43" t="s">
        <v>1</v>
      </c>
      <c r="K43" t="s">
        <v>2</v>
      </c>
      <c r="L43" t="s">
        <v>3</v>
      </c>
      <c r="M43" t="s">
        <v>4</v>
      </c>
      <c r="N43" t="s">
        <v>5</v>
      </c>
      <c r="O43" t="s">
        <v>6</v>
      </c>
      <c r="P43" t="s">
        <v>7</v>
      </c>
      <c r="Q43" t="s">
        <v>8</v>
      </c>
      <c r="S43" t="s">
        <v>1</v>
      </c>
      <c r="T43" t="s">
        <v>2</v>
      </c>
      <c r="U43" t="s">
        <v>3</v>
      </c>
      <c r="V43" t="s">
        <v>4</v>
      </c>
      <c r="W43" t="s">
        <v>5</v>
      </c>
      <c r="X43" t="s">
        <v>6</v>
      </c>
      <c r="Y43" t="s">
        <v>7</v>
      </c>
      <c r="Z43" t="s">
        <v>8</v>
      </c>
      <c r="AB43" t="s">
        <v>1</v>
      </c>
      <c r="AC43" t="s">
        <v>2</v>
      </c>
      <c r="AD43" t="s">
        <v>3</v>
      </c>
      <c r="AE43" t="s">
        <v>4</v>
      </c>
      <c r="AF43" t="s">
        <v>5</v>
      </c>
      <c r="AG43" t="s">
        <v>6</v>
      </c>
      <c r="AH43" t="s">
        <v>7</v>
      </c>
      <c r="AI43" t="s">
        <v>8</v>
      </c>
      <c r="AN43" t="s">
        <v>1</v>
      </c>
      <c r="AO43" t="s">
        <v>2</v>
      </c>
      <c r="AP43" t="s">
        <v>3</v>
      </c>
      <c r="AQ43" t="s">
        <v>4</v>
      </c>
      <c r="AR43" t="s">
        <v>5</v>
      </c>
      <c r="AS43" t="s">
        <v>6</v>
      </c>
      <c r="AT43" t="s">
        <v>7</v>
      </c>
      <c r="AU43" t="s">
        <v>8</v>
      </c>
      <c r="AW43" t="s">
        <v>1</v>
      </c>
      <c r="AX43" t="s">
        <v>2</v>
      </c>
      <c r="AY43" t="s">
        <v>3</v>
      </c>
      <c r="AZ43" t="s">
        <v>4</v>
      </c>
      <c r="BA43" t="s">
        <v>5</v>
      </c>
      <c r="BB43" t="s">
        <v>6</v>
      </c>
      <c r="BC43" t="s">
        <v>7</v>
      </c>
      <c r="BD43" t="s">
        <v>8</v>
      </c>
      <c r="BJ43" s="2" t="s">
        <v>1</v>
      </c>
      <c r="BK43" s="7" t="s">
        <v>2</v>
      </c>
      <c r="BL43" s="8" t="s">
        <v>3</v>
      </c>
      <c r="BM43" s="8" t="s">
        <v>4</v>
      </c>
      <c r="BN43" s="8" t="s">
        <v>5</v>
      </c>
      <c r="BO43" s="8" t="s">
        <v>6</v>
      </c>
      <c r="BP43" s="8" t="s">
        <v>7</v>
      </c>
      <c r="BQ43" s="8" t="s">
        <v>8</v>
      </c>
      <c r="BR43" s="9"/>
      <c r="BU43" s="1"/>
    </row>
    <row r="44" spans="1:73">
      <c r="A44">
        <v>0.2</v>
      </c>
      <c r="B44">
        <v>1.43210349607269E-3</v>
      </c>
      <c r="C44">
        <v>1.9428778684737399E-3</v>
      </c>
      <c r="D44">
        <v>2.2305813035787101E-3</v>
      </c>
      <c r="E44">
        <v>2.2303944754388299E-3</v>
      </c>
      <c r="F44">
        <v>3.5095074029611998E-3</v>
      </c>
      <c r="G44">
        <v>6.7796536943802096E-3</v>
      </c>
      <c r="H44">
        <v>6.66712970297028E-3</v>
      </c>
      <c r="I44" s="26">
        <v>1.2917064066852399E-2</v>
      </c>
      <c r="J44">
        <v>0.2</v>
      </c>
      <c r="K44">
        <v>2.1801016479286299E-5</v>
      </c>
      <c r="L44">
        <v>4.4797628214998601E-5</v>
      </c>
      <c r="M44">
        <v>5.1563478024218503E-5</v>
      </c>
      <c r="N44">
        <v>5.1562117294867502E-5</v>
      </c>
      <c r="O44">
        <v>1.03599973322661E-4</v>
      </c>
      <c r="P44">
        <v>3.6577071710436901E-4</v>
      </c>
      <c r="Q44">
        <v>3.66855304101839E-4</v>
      </c>
      <c r="R44" s="31">
        <v>3.43333099188567E-3</v>
      </c>
      <c r="S44">
        <v>0.2</v>
      </c>
      <c r="T44">
        <v>0.98094429246880899</v>
      </c>
      <c r="U44">
        <v>0.97379820976435205</v>
      </c>
      <c r="V44">
        <v>0.97228608722273901</v>
      </c>
      <c r="W44">
        <v>0.97229125989929599</v>
      </c>
      <c r="X44">
        <v>0.95462567813791599</v>
      </c>
      <c r="Y44">
        <v>0.90819234916313896</v>
      </c>
      <c r="Z44">
        <v>0.90259098783591496</v>
      </c>
      <c r="AA44" s="36">
        <v>0.80141292600217995</v>
      </c>
      <c r="AB44">
        <v>0.2</v>
      </c>
      <c r="AC44">
        <v>0.99705327829970902</v>
      </c>
      <c r="AD44">
        <v>0.99387020853226704</v>
      </c>
      <c r="AE44">
        <v>0.99334452864335399</v>
      </c>
      <c r="AF44">
        <v>0.99334575003402004</v>
      </c>
      <c r="AG44">
        <v>0.98701498786180997</v>
      </c>
      <c r="AH44">
        <v>0.95787496897537205</v>
      </c>
      <c r="AI44">
        <v>0.94959509745403403</v>
      </c>
      <c r="AJ44" s="41">
        <v>0.81819315659440495</v>
      </c>
      <c r="AN44">
        <v>0.2</v>
      </c>
      <c r="AO44">
        <f t="shared" si="0"/>
        <v>0.9730701159486036</v>
      </c>
      <c r="AP44">
        <f t="shared" si="10"/>
        <v>0.96346529711888473</v>
      </c>
      <c r="AQ44">
        <f t="shared" si="11"/>
        <v>0.95805519919662396</v>
      </c>
      <c r="AR44">
        <f t="shared" si="12"/>
        <v>0.9580587123925336</v>
      </c>
      <c r="AS44">
        <f t="shared" si="13"/>
        <v>0.93400572814852945</v>
      </c>
      <c r="AT44">
        <f t="shared" si="14"/>
        <v>0.87251250457877971</v>
      </c>
      <c r="AU44">
        <f t="shared" si="15"/>
        <v>0.87462845363552022</v>
      </c>
      <c r="AV44" s="6">
        <f t="shared" si="15"/>
        <v>0.75710202610444699</v>
      </c>
      <c r="AW44">
        <v>0.2</v>
      </c>
      <c r="AX44">
        <f t="shared" si="2"/>
        <v>0.99769741486886421</v>
      </c>
      <c r="AY44">
        <f t="shared" si="16"/>
        <v>0.99526855306329365</v>
      </c>
      <c r="AZ44">
        <f t="shared" si="17"/>
        <v>0.99455395587077244</v>
      </c>
      <c r="BA44">
        <f t="shared" si="18"/>
        <v>0.9945540995886204</v>
      </c>
      <c r="BB44">
        <f t="shared" si="19"/>
        <v>0.98905795248650585</v>
      </c>
      <c r="BC44">
        <f>1-(P44/$AL$4)</f>
        <v>0.96136793826060385</v>
      </c>
      <c r="BD44">
        <f>1-(Q44/$AL$4)</f>
        <v>0.96125338608382027</v>
      </c>
      <c r="BE44" s="6">
        <f>1-(R44/$AL$4)</f>
        <v>0.63737760119145093</v>
      </c>
      <c r="BJ44" s="10">
        <v>0.2</v>
      </c>
      <c r="BK44" s="11">
        <f t="shared" si="4"/>
        <v>0.98719127539649643</v>
      </c>
      <c r="BL44" s="12">
        <f t="shared" si="20"/>
        <v>0.98160056711969945</v>
      </c>
      <c r="BM44" s="21">
        <f t="shared" si="21"/>
        <v>0.97955994273337244</v>
      </c>
      <c r="BN44" s="12">
        <f t="shared" si="22"/>
        <v>0.97956245547861753</v>
      </c>
      <c r="BO44" s="12">
        <f t="shared" si="23"/>
        <v>0.96617608665869037</v>
      </c>
      <c r="BP44" s="12">
        <f t="shared" si="24"/>
        <v>0.9249869402444737</v>
      </c>
      <c r="BQ44" s="12">
        <f t="shared" si="25"/>
        <v>0.92201698125232234</v>
      </c>
      <c r="BR44" s="13">
        <f t="shared" si="25"/>
        <v>0.75352142747312068</v>
      </c>
      <c r="BT44" t="s">
        <v>2</v>
      </c>
      <c r="BU44" s="1">
        <f t="shared" si="6"/>
        <v>0.98719127539649643</v>
      </c>
    </row>
    <row r="45" spans="1:73">
      <c r="A45">
        <v>0.5</v>
      </c>
      <c r="B45">
        <v>9.7376625786671205E-3</v>
      </c>
      <c r="C45">
        <v>1.0287017427787599E-2</v>
      </c>
      <c r="D45">
        <v>1.41130696039036E-2</v>
      </c>
      <c r="E45">
        <v>1.41079262342136E-2</v>
      </c>
      <c r="F45">
        <v>1.2856685351170599E-2</v>
      </c>
      <c r="G45">
        <v>1.41130696039036E-2</v>
      </c>
      <c r="H45">
        <v>1.41130696039036E-2</v>
      </c>
      <c r="I45" s="26">
        <v>2.77737467603246E-2</v>
      </c>
      <c r="J45">
        <v>0.5</v>
      </c>
      <c r="K45">
        <v>6.62497821526549E-4</v>
      </c>
      <c r="L45">
        <v>7.1948910763272502E-4</v>
      </c>
      <c r="M45">
        <v>1.29513088404133E-3</v>
      </c>
      <c r="N45">
        <v>1.2944326923077E-3</v>
      </c>
      <c r="O45">
        <v>9.0289123745819402E-4</v>
      </c>
      <c r="P45">
        <v>1.29513088404133E-3</v>
      </c>
      <c r="Q45">
        <v>1.29513088404133E-3</v>
      </c>
      <c r="R45" s="31">
        <v>1.46047067942352E-2</v>
      </c>
      <c r="S45">
        <v>0.5</v>
      </c>
      <c r="T45">
        <v>0.87034455220267903</v>
      </c>
      <c r="U45">
        <v>0.85539508826851496</v>
      </c>
      <c r="V45">
        <v>0.79267620206659195</v>
      </c>
      <c r="W45">
        <v>0.79279358696900004</v>
      </c>
      <c r="X45">
        <v>0.82050431304348004</v>
      </c>
      <c r="Y45">
        <v>0.79267620206659195</v>
      </c>
      <c r="Z45">
        <v>0.79267620206659195</v>
      </c>
      <c r="AA45" s="36">
        <v>0.50256041225626702</v>
      </c>
      <c r="AB45">
        <v>0.5</v>
      </c>
      <c r="AC45">
        <v>0.91429688042600799</v>
      </c>
      <c r="AD45">
        <v>0.89572116669355994</v>
      </c>
      <c r="AE45">
        <v>0.84219917867393601</v>
      </c>
      <c r="AF45">
        <v>0.84242366446612804</v>
      </c>
      <c r="AG45">
        <v>0.86950494755852903</v>
      </c>
      <c r="AH45">
        <v>0.84219917867393601</v>
      </c>
      <c r="AI45">
        <v>0.84219917867393601</v>
      </c>
      <c r="AJ45" s="41">
        <v>0.39806649158289897</v>
      </c>
      <c r="AN45">
        <v>0.5</v>
      </c>
      <c r="AO45">
        <f t="shared" si="0"/>
        <v>0.81688884574734866</v>
      </c>
      <c r="AP45">
        <f t="shared" si="10"/>
        <v>0.80655854320255549</v>
      </c>
      <c r="AQ45">
        <f t="shared" si="11"/>
        <v>0.73461182862504482</v>
      </c>
      <c r="AR45">
        <f t="shared" si="12"/>
        <v>0.73470854673917896</v>
      </c>
      <c r="AS45">
        <f t="shared" si="13"/>
        <v>0.75823741318851046</v>
      </c>
      <c r="AT45">
        <f t="shared" si="14"/>
        <v>0.73461182862504482</v>
      </c>
      <c r="AU45">
        <f t="shared" si="15"/>
        <v>0.73461182862504482</v>
      </c>
      <c r="AV45" s="6">
        <f t="shared" si="15"/>
        <v>0.47773063749966194</v>
      </c>
      <c r="AW45">
        <v>0.5</v>
      </c>
      <c r="AX45">
        <f t="shared" si="2"/>
        <v>0.93002814182053228</v>
      </c>
      <c r="AY45">
        <f t="shared" si="16"/>
        <v>0.9240088221196795</v>
      </c>
      <c r="AZ45">
        <f t="shared" si="17"/>
        <v>0.86321054711821876</v>
      </c>
      <c r="BA45">
        <f t="shared" si="18"/>
        <v>0.86328428890480324</v>
      </c>
      <c r="BB45">
        <f t="shared" si="19"/>
        <v>0.90463821077428697</v>
      </c>
      <c r="BC45">
        <f>1-(P45/$AL$4)</f>
        <v>0.86321054711821876</v>
      </c>
      <c r="BD45">
        <f>1-(Q45/$AL$4)</f>
        <v>0.86321054711821876</v>
      </c>
      <c r="BE45" s="6">
        <f t="shared" ref="BE45:BE49" si="30">1-(R45/$AL$4)</f>
        <v>-0.54252352136675097</v>
      </c>
      <c r="BJ45" s="14">
        <v>0.5</v>
      </c>
      <c r="BK45" s="15">
        <f t="shared" si="4"/>
        <v>0.88288960504914193</v>
      </c>
      <c r="BL45" s="16">
        <f t="shared" si="20"/>
        <v>0.87042090507107739</v>
      </c>
      <c r="BM45" s="16">
        <f t="shared" si="21"/>
        <v>0.80817443912094789</v>
      </c>
      <c r="BN45" s="16">
        <f t="shared" si="22"/>
        <v>0.80830252176977757</v>
      </c>
      <c r="BO45" s="16">
        <f t="shared" si="23"/>
        <v>0.83822122114120168</v>
      </c>
      <c r="BP45" s="16">
        <f t="shared" si="24"/>
        <v>0.80817443912094789</v>
      </c>
      <c r="BQ45" s="16">
        <f t="shared" si="25"/>
        <v>0.80817443912094789</v>
      </c>
      <c r="BR45" s="13">
        <f t="shared" si="25"/>
        <v>0.20895850499301924</v>
      </c>
      <c r="BT45" t="s">
        <v>2</v>
      </c>
      <c r="BU45" s="1">
        <f t="shared" si="6"/>
        <v>0.88288960504914193</v>
      </c>
    </row>
    <row r="46" spans="1:73">
      <c r="A46">
        <v>1</v>
      </c>
      <c r="B46">
        <v>2.0537952666781E-2</v>
      </c>
      <c r="C46">
        <v>2.0052531641227899E-2</v>
      </c>
      <c r="D46">
        <v>2.3930756376429298E-2</v>
      </c>
      <c r="E46">
        <v>2.3922539577836299E-2</v>
      </c>
      <c r="F46">
        <v>2.4309438345051299E-2</v>
      </c>
      <c r="G46">
        <v>2.544336939314E-2</v>
      </c>
      <c r="H46">
        <v>2.49055124496796E-2</v>
      </c>
      <c r="I46" s="26">
        <v>4.2388687658956002E-2</v>
      </c>
      <c r="J46">
        <v>1</v>
      </c>
      <c r="K46">
        <v>2.4817561310238301E-3</v>
      </c>
      <c r="L46">
        <v>2.27695918367346E-3</v>
      </c>
      <c r="M46">
        <v>3.3204133685136501E-3</v>
      </c>
      <c r="N46">
        <v>3.3190005863383098E-3</v>
      </c>
      <c r="O46">
        <v>2.7157978637101202E-3</v>
      </c>
      <c r="P46">
        <v>3.82750747581356E-3</v>
      </c>
      <c r="Q46">
        <v>3.7006748173550202E-3</v>
      </c>
      <c r="R46" s="31">
        <v>3.0685796172944198E-2</v>
      </c>
      <c r="S46">
        <v>1</v>
      </c>
      <c r="T46">
        <v>0.69380262630766798</v>
      </c>
      <c r="U46">
        <v>0.68123528091236696</v>
      </c>
      <c r="V46">
        <v>0.61280605321020098</v>
      </c>
      <c r="W46">
        <v>0.61314881163881596</v>
      </c>
      <c r="X46">
        <v>0.61573037155219101</v>
      </c>
      <c r="Y46">
        <v>0.58343522002345305</v>
      </c>
      <c r="Z46">
        <v>0.572814603101237</v>
      </c>
      <c r="AA46" s="36">
        <v>0.20197440595858099</v>
      </c>
      <c r="AB46">
        <v>1</v>
      </c>
      <c r="AC46">
        <v>0.649240766249358</v>
      </c>
      <c r="AD46">
        <v>0.603353250557365</v>
      </c>
      <c r="AE46">
        <v>0.56268332043388902</v>
      </c>
      <c r="AF46">
        <v>0.56342457417179703</v>
      </c>
      <c r="AG46">
        <v>0.54218160478637101</v>
      </c>
      <c r="AH46">
        <v>0.519889478012312</v>
      </c>
      <c r="AI46">
        <v>0.46887525853585699</v>
      </c>
      <c r="AJ46" s="41">
        <v>2.52542155746639E-2</v>
      </c>
      <c r="AN46">
        <v>1</v>
      </c>
      <c r="AO46">
        <f t="shared" si="0"/>
        <v>0.61379559125005612</v>
      </c>
      <c r="AP46">
        <f t="shared" si="10"/>
        <v>0.6229236549480387</v>
      </c>
      <c r="AQ46">
        <f t="shared" si="11"/>
        <v>0.54999586534998146</v>
      </c>
      <c r="AR46">
        <f t="shared" si="12"/>
        <v>0.55015037753013463</v>
      </c>
      <c r="AS46">
        <f t="shared" si="13"/>
        <v>0.54287496833708326</v>
      </c>
      <c r="AT46">
        <f t="shared" si="14"/>
        <v>0.52155204598471916</v>
      </c>
      <c r="AU46">
        <f t="shared" si="15"/>
        <v>0.53166613701469578</v>
      </c>
      <c r="AV46" s="6">
        <f t="shared" si="15"/>
        <v>0.20290506455924207</v>
      </c>
      <c r="AW46">
        <v>1</v>
      </c>
      <c r="AX46">
        <f t="shared" si="2"/>
        <v>0.73788126935136666</v>
      </c>
      <c r="AY46">
        <f t="shared" si="16"/>
        <v>0.75951156380662732</v>
      </c>
      <c r="AZ46">
        <f t="shared" si="17"/>
        <v>0.64930376256409317</v>
      </c>
      <c r="BA46">
        <f t="shared" si="18"/>
        <v>0.64945297814005321</v>
      </c>
      <c r="BB46">
        <f t="shared" si="19"/>
        <v>0.71316219195143327</v>
      </c>
      <c r="BC46">
        <f>1-(P46/$AL$4)</f>
        <v>0.59574537217139178</v>
      </c>
      <c r="BD46">
        <f>1-(Q46/$AL$4)</f>
        <v>0.60914121514901298</v>
      </c>
      <c r="BE46" s="6">
        <f t="shared" si="30"/>
        <v>-2.2409799823790952</v>
      </c>
      <c r="BJ46" s="14">
        <v>1</v>
      </c>
      <c r="BK46" s="15">
        <f t="shared" si="4"/>
        <v>0.67368006328961227</v>
      </c>
      <c r="BL46" s="16">
        <f t="shared" si="20"/>
        <v>0.66675593755609952</v>
      </c>
      <c r="BM46" s="16">
        <f t="shared" si="21"/>
        <v>0.59369725038954113</v>
      </c>
      <c r="BN46" s="16">
        <f t="shared" si="22"/>
        <v>0.59404418537020021</v>
      </c>
      <c r="BO46" s="16">
        <f t="shared" si="23"/>
        <v>0.60348728415676967</v>
      </c>
      <c r="BP46" s="16">
        <f t="shared" si="24"/>
        <v>0.55515552904796894</v>
      </c>
      <c r="BQ46" s="16">
        <f t="shared" si="25"/>
        <v>0.54562430345020063</v>
      </c>
      <c r="BR46" s="13">
        <f t="shared" si="25"/>
        <v>-0.45271157407165197</v>
      </c>
      <c r="BT46" t="s">
        <v>2</v>
      </c>
      <c r="BU46" s="1">
        <f t="shared" si="6"/>
        <v>0.67368006328961227</v>
      </c>
    </row>
    <row r="47" spans="1:73">
      <c r="A47">
        <v>1.5</v>
      </c>
      <c r="B47">
        <v>2.99810210340083E-2</v>
      </c>
      <c r="C47">
        <v>2.8769454295262401E-2</v>
      </c>
      <c r="D47">
        <v>3.4295446252179E-2</v>
      </c>
      <c r="E47">
        <v>3.4275230970366201E-2</v>
      </c>
      <c r="F47">
        <v>3.00943431968652E-2</v>
      </c>
      <c r="G47">
        <v>3.4295446252179E-2</v>
      </c>
      <c r="H47">
        <v>3.4295446252179E-2</v>
      </c>
      <c r="I47" s="26">
        <v>6.9635290056921401E-2</v>
      </c>
      <c r="J47">
        <v>1.5</v>
      </c>
      <c r="K47">
        <v>4.7629457440534701E-3</v>
      </c>
      <c r="L47">
        <v>4.0869292313741E-3</v>
      </c>
      <c r="M47">
        <v>6.5376355316676604E-3</v>
      </c>
      <c r="N47">
        <v>6.5342545031958502E-3</v>
      </c>
      <c r="O47">
        <v>3.9102115930279699E-3</v>
      </c>
      <c r="P47">
        <v>6.5376355316676604E-3</v>
      </c>
      <c r="Q47">
        <v>6.5376355316676604E-3</v>
      </c>
      <c r="R47" s="31">
        <v>9.7262757902385893E-2</v>
      </c>
      <c r="S47">
        <v>1.5</v>
      </c>
      <c r="T47">
        <v>0.43277656418321397</v>
      </c>
      <c r="U47">
        <v>0.53920822822881898</v>
      </c>
      <c r="V47">
        <v>0.426490103718769</v>
      </c>
      <c r="W47">
        <v>0.42773730708890201</v>
      </c>
      <c r="X47">
        <v>0.47553069260910702</v>
      </c>
      <c r="Y47">
        <v>0.426490103718769</v>
      </c>
      <c r="Z47">
        <v>0.426490103718769</v>
      </c>
      <c r="AA47" s="36">
        <v>-0.16385684086229901</v>
      </c>
      <c r="AB47">
        <v>1.5</v>
      </c>
      <c r="AC47">
        <v>0.37546087890701801</v>
      </c>
      <c r="AD47">
        <v>0.29633563573815602</v>
      </c>
      <c r="AE47">
        <v>0.236566267141197</v>
      </c>
      <c r="AF47">
        <v>0.23944555244044199</v>
      </c>
      <c r="AG47">
        <v>0.204445445750574</v>
      </c>
      <c r="AH47">
        <v>0.236566267141197</v>
      </c>
      <c r="AI47">
        <v>0.236566267141197</v>
      </c>
      <c r="AJ47" s="41">
        <v>-8.9042014169795305E-2</v>
      </c>
      <c r="AN47">
        <v>1.5</v>
      </c>
      <c r="AO47">
        <f t="shared" si="0"/>
        <v>0.43622411201254363</v>
      </c>
      <c r="AP47">
        <f t="shared" si="10"/>
        <v>0.45900692895589357</v>
      </c>
      <c r="AQ47">
        <f t="shared" si="11"/>
        <v>0.35509382276153523</v>
      </c>
      <c r="AR47">
        <f t="shared" si="12"/>
        <v>0.35547395953012628</v>
      </c>
      <c r="AS47">
        <f t="shared" si="13"/>
        <v>0.43409315379998525</v>
      </c>
      <c r="AT47">
        <f t="shared" si="14"/>
        <v>0.35509382276153523</v>
      </c>
      <c r="AU47">
        <f t="shared" si="15"/>
        <v>0.35509382276153523</v>
      </c>
      <c r="AV47" s="6">
        <f t="shared" si="15"/>
        <v>-0.30945165084847259</v>
      </c>
      <c r="AW47">
        <v>1.5</v>
      </c>
      <c r="AX47">
        <f t="shared" si="2"/>
        <v>0.49694602262770904</v>
      </c>
      <c r="AY47">
        <f t="shared" si="16"/>
        <v>0.56834570126089168</v>
      </c>
      <c r="AZ47">
        <f t="shared" si="17"/>
        <v>0.30950639928622548</v>
      </c>
      <c r="BA47">
        <f t="shared" si="18"/>
        <v>0.30986349758457932</v>
      </c>
      <c r="BB47">
        <f t="shared" si="19"/>
        <v>0.58701030833789836</v>
      </c>
      <c r="BC47">
        <f>1-(P47/$AL$4)</f>
        <v>0.30950639928622548</v>
      </c>
      <c r="BD47">
        <f>1-(Q47/$AL$4)</f>
        <v>0.30950639928622548</v>
      </c>
      <c r="BE47" s="6">
        <f t="shared" si="30"/>
        <v>-9.2727219334968272</v>
      </c>
      <c r="BJ47" s="14">
        <v>1.5</v>
      </c>
      <c r="BK47" s="15">
        <f t="shared" si="4"/>
        <v>0.43535189443262118</v>
      </c>
      <c r="BL47" s="16">
        <f t="shared" si="20"/>
        <v>0.46572412354594006</v>
      </c>
      <c r="BM47" s="16">
        <f t="shared" si="21"/>
        <v>0.33191414822693166</v>
      </c>
      <c r="BN47" s="16">
        <f t="shared" si="22"/>
        <v>0.33313007916101239</v>
      </c>
      <c r="BO47" s="16">
        <f t="shared" si="23"/>
        <v>0.42526990012439114</v>
      </c>
      <c r="BP47" s="16">
        <f t="shared" si="24"/>
        <v>0.33191414822693166</v>
      </c>
      <c r="BQ47" s="16">
        <f t="shared" si="25"/>
        <v>0.33191414822693166</v>
      </c>
      <c r="BR47" s="13">
        <f t="shared" si="25"/>
        <v>-2.4587681098443488</v>
      </c>
      <c r="BT47" t="s">
        <v>3</v>
      </c>
      <c r="BU47" s="1">
        <f t="shared" si="6"/>
        <v>0.46572412354594006</v>
      </c>
    </row>
    <row r="48" spans="1:73">
      <c r="A48">
        <v>2</v>
      </c>
      <c r="B48">
        <v>4.0773210900473797E-2</v>
      </c>
      <c r="C48">
        <v>3.9079431016324301E-2</v>
      </c>
      <c r="D48">
        <v>4.0818294724075298E-2</v>
      </c>
      <c r="E48">
        <v>4.08202762280169E-2</v>
      </c>
      <c r="F48">
        <v>3.8734191620786798E-2</v>
      </c>
      <c r="G48">
        <v>4.1993600970285101E-2</v>
      </c>
      <c r="H48">
        <v>4.19876868640148E-2</v>
      </c>
      <c r="I48" s="26">
        <v>5.5679072665617099E-2</v>
      </c>
      <c r="J48">
        <v>2</v>
      </c>
      <c r="K48">
        <v>1.06010771458663E-2</v>
      </c>
      <c r="L48">
        <v>9.7767998946813803E-3</v>
      </c>
      <c r="M48">
        <v>9.8769669496664193E-3</v>
      </c>
      <c r="N48">
        <v>9.8970563978168693E-3</v>
      </c>
      <c r="O48">
        <v>6.0816837652746397E-3</v>
      </c>
      <c r="P48">
        <v>1.0799218465736799E-2</v>
      </c>
      <c r="Q48">
        <v>1.11625572001233E-2</v>
      </c>
      <c r="R48" s="31">
        <v>4.4944238101005202E-2</v>
      </c>
      <c r="S48">
        <v>2</v>
      </c>
      <c r="T48">
        <v>-1.1053699233807299</v>
      </c>
      <c r="U48">
        <v>0.36353216350710899</v>
      </c>
      <c r="V48">
        <v>0.19234016100667101</v>
      </c>
      <c r="W48">
        <v>0.19729599863553701</v>
      </c>
      <c r="X48">
        <v>0.17942568228816799</v>
      </c>
      <c r="Y48">
        <v>0.16850465721649499</v>
      </c>
      <c r="Z48">
        <v>0.15536427582485399</v>
      </c>
      <c r="AA48" s="36">
        <v>-0.184293627225385</v>
      </c>
      <c r="AB48">
        <v>2</v>
      </c>
      <c r="AC48">
        <v>-0.29369208056871998</v>
      </c>
      <c r="AD48">
        <v>-0.420436413375461</v>
      </c>
      <c r="AE48">
        <v>-0.25415806685870301</v>
      </c>
      <c r="AF48">
        <v>-0.248248087780473</v>
      </c>
      <c r="AG48">
        <v>-0.66426829783805597</v>
      </c>
      <c r="AH48">
        <v>-0.275769598544573</v>
      </c>
      <c r="AI48">
        <v>-0.32587576503237797</v>
      </c>
      <c r="AJ48" s="41">
        <v>-0.44131109252755202</v>
      </c>
      <c r="AN48">
        <v>2</v>
      </c>
      <c r="AO48">
        <f t="shared" si="0"/>
        <v>0.23328317753288941</v>
      </c>
      <c r="AP48">
        <f t="shared" si="10"/>
        <v>0.2651337358297029</v>
      </c>
      <c r="AQ48">
        <f t="shared" si="11"/>
        <v>0.23243540211336744</v>
      </c>
      <c r="AR48">
        <f t="shared" si="12"/>
        <v>0.23239814106935697</v>
      </c>
      <c r="AS48">
        <f t="shared" si="13"/>
        <v>0.27162576445563347</v>
      </c>
      <c r="AT48">
        <f t="shared" si="14"/>
        <v>0.21033444291446224</v>
      </c>
      <c r="AU48">
        <f t="shared" si="15"/>
        <v>0.21044565428749751</v>
      </c>
      <c r="AV48" s="6">
        <f t="shared" si="15"/>
        <v>-4.7012995280222514E-2</v>
      </c>
      <c r="AW48">
        <v>2</v>
      </c>
      <c r="AX48">
        <f t="shared" si="2"/>
        <v>-0.11966717851377395</v>
      </c>
      <c r="AY48">
        <f t="shared" si="16"/>
        <v>-3.2608460663844596E-2</v>
      </c>
      <c r="AZ48">
        <f t="shared" si="17"/>
        <v>-4.3187929362349831E-2</v>
      </c>
      <c r="BA48">
        <f t="shared" si="18"/>
        <v>-4.5309741647932888E-2</v>
      </c>
      <c r="BB48">
        <f t="shared" si="19"/>
        <v>0.357663225313542</v>
      </c>
      <c r="BC48">
        <f>1-(P48/$AL$4)</f>
        <v>-0.14059451726565753</v>
      </c>
      <c r="BD48">
        <f>1-(Q48/$AL$4)</f>
        <v>-0.17896971725502198</v>
      </c>
      <c r="BE48" s="6">
        <f t="shared" si="30"/>
        <v>-3.7469316157770001</v>
      </c>
      <c r="BJ48" s="14">
        <v>2</v>
      </c>
      <c r="BK48" s="15">
        <f t="shared" si="4"/>
        <v>-0.32136150123258361</v>
      </c>
      <c r="BL48" s="16">
        <f t="shared" si="20"/>
        <v>4.3905256324376585E-2</v>
      </c>
      <c r="BM48" s="16">
        <f t="shared" si="21"/>
        <v>3.1857391724746401E-2</v>
      </c>
      <c r="BN48" s="16">
        <f t="shared" si="22"/>
        <v>3.403407756912203E-2</v>
      </c>
      <c r="BO48" s="16">
        <f t="shared" si="23"/>
        <v>3.611159355482188E-2</v>
      </c>
      <c r="BP48" s="16">
        <f t="shared" si="24"/>
        <v>-9.3812539198183248E-3</v>
      </c>
      <c r="BQ48" s="16">
        <f t="shared" si="25"/>
        <v>-3.4758888043762114E-2</v>
      </c>
      <c r="BR48" s="13">
        <f t="shared" si="25"/>
        <v>-1.1048873327025397</v>
      </c>
      <c r="BT48" t="s">
        <v>3</v>
      </c>
      <c r="BU48" s="1">
        <f t="shared" si="6"/>
        <v>4.3905256324376585E-2</v>
      </c>
    </row>
    <row r="49" spans="1:73" ht="15" thickBot="1">
      <c r="A49">
        <v>2.5</v>
      </c>
      <c r="B49">
        <v>3.2118765762170799E-2</v>
      </c>
      <c r="C49">
        <v>3.1233332402234699E-2</v>
      </c>
      <c r="D49">
        <v>3.88819895968791E-2</v>
      </c>
      <c r="E49">
        <v>3.88539459615663E-2</v>
      </c>
      <c r="F49">
        <v>3.8687579894875201E-2</v>
      </c>
      <c r="G49">
        <v>3.88819895968791E-2</v>
      </c>
      <c r="H49">
        <v>3.88819895968791E-2</v>
      </c>
      <c r="I49" s="26">
        <v>4.3391009204311499E-2</v>
      </c>
      <c r="J49">
        <v>2.5</v>
      </c>
      <c r="K49">
        <v>6.8851839584995996E-3</v>
      </c>
      <c r="L49">
        <v>6.7426891460495002E-3</v>
      </c>
      <c r="M49">
        <v>7.17796127727207E-3</v>
      </c>
      <c r="N49">
        <v>7.1872535760728303E-3</v>
      </c>
      <c r="O49">
        <v>6.2772308804205203E-3</v>
      </c>
      <c r="P49">
        <v>7.17796127727207E-3</v>
      </c>
      <c r="Q49">
        <v>7.17796127727207E-3</v>
      </c>
      <c r="R49" s="31">
        <v>1.02609239433208E-2</v>
      </c>
      <c r="S49">
        <v>2.5</v>
      </c>
      <c r="T49">
        <v>0.2162299896249</v>
      </c>
      <c r="U49">
        <v>0.286344918994414</v>
      </c>
      <c r="V49">
        <v>-2.4569428261812E-2</v>
      </c>
      <c r="W49">
        <v>2.92645910995523E-2</v>
      </c>
      <c r="X49">
        <v>0.12074509618922501</v>
      </c>
      <c r="Y49">
        <v>-2.4569428261812E-2</v>
      </c>
      <c r="Z49">
        <v>-2.4569428261812E-2</v>
      </c>
      <c r="AA49" s="36">
        <v>2.5116856848734399E-2</v>
      </c>
      <c r="AB49">
        <v>2.5</v>
      </c>
      <c r="AC49">
        <v>-0.46709425299281698</v>
      </c>
      <c r="AD49">
        <v>-0.70054062849161902</v>
      </c>
      <c r="AE49">
        <v>-0.73688544863459304</v>
      </c>
      <c r="AF49">
        <v>-0.69589358156335701</v>
      </c>
      <c r="AG49">
        <v>-0.86642872181340302</v>
      </c>
      <c r="AH49">
        <v>-0.73688544863459304</v>
      </c>
      <c r="AI49">
        <v>-0.73688544863459304</v>
      </c>
      <c r="AJ49" s="41">
        <v>-1.25694882027371</v>
      </c>
      <c r="AN49">
        <v>2.5</v>
      </c>
      <c r="AO49">
        <f t="shared" si="0"/>
        <v>0.39602504971098917</v>
      </c>
      <c r="AP49">
        <f t="shared" si="10"/>
        <v>0.41267511570392013</v>
      </c>
      <c r="AQ49">
        <f t="shared" si="11"/>
        <v>0.26884650836826851</v>
      </c>
      <c r="AR49">
        <f t="shared" si="12"/>
        <v>0.269373852830051</v>
      </c>
      <c r="AS49">
        <f t="shared" si="13"/>
        <v>0.27250227120090509</v>
      </c>
      <c r="AT49">
        <f t="shared" si="14"/>
        <v>0.26884650836826851</v>
      </c>
      <c r="AU49">
        <f t="shared" si="15"/>
        <v>0.26884650836826851</v>
      </c>
      <c r="AV49" s="6">
        <f t="shared" si="15"/>
        <v>0.18405698334677223</v>
      </c>
      <c r="AW49">
        <v>2.5</v>
      </c>
      <c r="AX49">
        <f t="shared" si="2"/>
        <v>0.2727989438915106</v>
      </c>
      <c r="AY49">
        <f t="shared" si="16"/>
        <v>0.28784899610918224</v>
      </c>
      <c r="AZ49">
        <f t="shared" si="17"/>
        <v>0.24187631688557243</v>
      </c>
      <c r="BA49">
        <f t="shared" si="18"/>
        <v>0.2408948805808464</v>
      </c>
      <c r="BB49">
        <f t="shared" si="19"/>
        <v>0.33700988191557701</v>
      </c>
      <c r="BC49">
        <f>1-(P49/$AL$4)</f>
        <v>0.24187631688557243</v>
      </c>
      <c r="BD49">
        <f>1-(Q49/$AL$4)</f>
        <v>0.24187631688557243</v>
      </c>
      <c r="BE49" s="6">
        <f t="shared" si="30"/>
        <v>-8.3740793740217701E-2</v>
      </c>
      <c r="BJ49" s="17">
        <v>2.5</v>
      </c>
      <c r="BK49" s="18">
        <f t="shared" si="4"/>
        <v>0.10448993255864571</v>
      </c>
      <c r="BL49" s="19">
        <f t="shared" si="20"/>
        <v>7.1582100578974323E-2</v>
      </c>
      <c r="BM49" s="19">
        <f t="shared" si="21"/>
        <v>-6.2683012910641031E-2</v>
      </c>
      <c r="BN49" s="19">
        <f t="shared" si="22"/>
        <v>-3.9090064263226837E-2</v>
      </c>
      <c r="BO49" s="19">
        <f t="shared" si="23"/>
        <v>-3.4042868126923975E-2</v>
      </c>
      <c r="BP49" s="19">
        <f t="shared" si="24"/>
        <v>-6.2683012910641031E-2</v>
      </c>
      <c r="BQ49" s="19">
        <f t="shared" si="25"/>
        <v>-6.2683012910641031E-2</v>
      </c>
      <c r="BR49" s="20">
        <f t="shared" si="25"/>
        <v>-0.28287894345460529</v>
      </c>
      <c r="BT49" t="s">
        <v>2</v>
      </c>
      <c r="BU49" s="1">
        <f t="shared" si="6"/>
        <v>0.10448993255864571</v>
      </c>
    </row>
  </sheetData>
  <phoneticPr fontId="1" type="noConversion"/>
  <conditionalFormatting sqref="BK4:BR9">
    <cfRule type="expression" dxfId="35" priority="31">
      <formula>BK4=LARGE($BK4:$BR4, 2)</formula>
    </cfRule>
    <cfRule type="expression" dxfId="34" priority="32">
      <formula>BK4 = MAX($BK4:$BR4)</formula>
    </cfRule>
  </conditionalFormatting>
  <conditionalFormatting sqref="BK4:BR9">
    <cfRule type="expression" dxfId="33" priority="31">
      <formula>BK4=_xludf.LARGE($BM4:$BT4,2 )</formula>
    </cfRule>
  </conditionalFormatting>
  <conditionalFormatting sqref="BK4:BR9">
    <cfRule type="expression" dxfId="32" priority="29">
      <formula>BK4=LARGE($BK4:$BR4, 3)</formula>
    </cfRule>
  </conditionalFormatting>
  <conditionalFormatting sqref="BK12:BR17">
    <cfRule type="expression" dxfId="31" priority="26">
      <formula>BK12=LARGE($BK12:$BR12, 2)</formula>
    </cfRule>
    <cfRule type="expression" dxfId="30" priority="27">
      <formula>BK12 = MAX($BK12:$BR12)</formula>
    </cfRule>
  </conditionalFormatting>
  <conditionalFormatting sqref="BK12:BR17">
    <cfRule type="expression" dxfId="29" priority="-1">
      <formula>BK12=_xludf.LARGE($BM12:$BT12,2 )</formula>
    </cfRule>
  </conditionalFormatting>
  <conditionalFormatting sqref="BK12:BR17">
    <cfRule type="expression" dxfId="28" priority="25">
      <formula>BK12=LARGE($BK12:$BR12, 3)</formula>
    </cfRule>
  </conditionalFormatting>
  <conditionalFormatting sqref="BK20:BR25">
    <cfRule type="expression" dxfId="27" priority="22">
      <formula>BK20=LARGE($BK20:$BR20, 2)</formula>
    </cfRule>
    <cfRule type="expression" dxfId="26" priority="23">
      <formula>BK20 = MAX($BK20:$BR20)</formula>
    </cfRule>
  </conditionalFormatting>
  <conditionalFormatting sqref="BK20:BR25">
    <cfRule type="expression" dxfId="25" priority="22">
      <formula>BK20=_xludf.LARGE($BM20:$BT20,2 )</formula>
    </cfRule>
  </conditionalFormatting>
  <conditionalFormatting sqref="BK20:BR25">
    <cfRule type="expression" dxfId="24" priority="21">
      <formula>BK20=LARGE($BK20:$BR20, 3)</formula>
    </cfRule>
  </conditionalFormatting>
  <conditionalFormatting sqref="BK28:BR33">
    <cfRule type="expression" dxfId="15" priority="14">
      <formula>BK28=LARGE($BK28:$BR28, 2)</formula>
    </cfRule>
    <cfRule type="expression" dxfId="14" priority="15">
      <formula>BK28 = MAX($BK28:$BR28)</formula>
    </cfRule>
  </conditionalFormatting>
  <conditionalFormatting sqref="BK28:BR33">
    <cfRule type="expression" dxfId="13" priority="14">
      <formula>BK28=_xludf.LARGE($BM28:$BT28,2 )</formula>
    </cfRule>
  </conditionalFormatting>
  <conditionalFormatting sqref="BK28:BR33">
    <cfRule type="expression" dxfId="12" priority="13">
      <formula>BK28=LARGE($BK28:$BR28, 3)</formula>
    </cfRule>
  </conditionalFormatting>
  <conditionalFormatting sqref="BK36:BR41">
    <cfRule type="expression" dxfId="7" priority="6">
      <formula>BK36=LARGE($BK36:$BR36, 2)</formula>
    </cfRule>
    <cfRule type="expression" dxfId="6" priority="7">
      <formula>BK36 = MAX($BK36:$BR36)</formula>
    </cfRule>
  </conditionalFormatting>
  <conditionalFormatting sqref="BK36:BR41">
    <cfRule type="expression" dxfId="5" priority="6">
      <formula>BK36=_xludf.LARGE($BM36:$BT36,2 )</formula>
    </cfRule>
  </conditionalFormatting>
  <conditionalFormatting sqref="BK36:BR41">
    <cfRule type="expression" dxfId="4" priority="5">
      <formula>BK36=LARGE($BK36:$BR36, 3)</formula>
    </cfRule>
  </conditionalFormatting>
  <conditionalFormatting sqref="BK44:BR49">
    <cfRule type="expression" dxfId="3" priority="2">
      <formula>BK44=LARGE($BK44:$BR44, 2)</formula>
    </cfRule>
    <cfRule type="expression" dxfId="2" priority="3">
      <formula>BK44 = MAX($BK44:$BR44)</formula>
    </cfRule>
  </conditionalFormatting>
  <conditionalFormatting sqref="BK44:BR49">
    <cfRule type="expression" dxfId="1" priority="2">
      <formula>BK44=_xludf.LARGE($BM44:$BT44,2 )</formula>
    </cfRule>
  </conditionalFormatting>
  <conditionalFormatting sqref="BK44:BR49">
    <cfRule type="expression" dxfId="0" priority="1">
      <formula>BK44=LARGE($BK44:$BR44, 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MAE</vt:lpstr>
      <vt:lpstr>MSE</vt:lpstr>
      <vt:lpstr>KGE</vt:lpstr>
      <vt:lpstr>NSE</vt:lpstr>
      <vt:lpstr>Ponderado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Ser_Fondecyt</dc:creator>
  <cp:lastModifiedBy>Cristóbal Aboitiz Von Schultzendorff</cp:lastModifiedBy>
  <dcterms:created xsi:type="dcterms:W3CDTF">2025-05-26T01:29:07Z</dcterms:created>
  <dcterms:modified xsi:type="dcterms:W3CDTF">2026-07-12T21:16:53Z</dcterms:modified>
</cp:coreProperties>
</file>